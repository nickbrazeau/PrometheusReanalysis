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autoCompressPictures="0"/>
  <mc:AlternateContent xmlns:mc="http://schemas.openxmlformats.org/markup-compatibility/2006">
    <mc:Choice Requires="x15">
      <x15ac:absPath xmlns:x15ac="http://schemas.microsoft.com/office/spreadsheetml/2010/11/ac" url="/Users/twburke/Desktop/"/>
    </mc:Choice>
  </mc:AlternateContent>
  <xr:revisionPtr revIDLastSave="0" documentId="8_{A61806CD-42B0-4C43-BE0A-56F30FB8F51A}" xr6:coauthVersionLast="34" xr6:coauthVersionMax="34" xr10:uidLastSave="{00000000-0000-0000-0000-000000000000}"/>
  <bookViews>
    <workbookView xWindow="740" yWindow="460" windowWidth="38140" windowHeight="24920" tabRatio="500" xr2:uid="{00000000-000D-0000-FFFF-FFFF00000000}"/>
  </bookViews>
  <sheets>
    <sheet name="Lib QC" sheetId="1" r:id="rId1"/>
    <sheet name="Pooling Formula" sheetId="2" r:id="rId2"/>
  </sheets>
  <calcPr calcId="162913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6" i="1"/>
  <c r="E5" i="1"/>
  <c r="E4" i="1"/>
  <c r="E3" i="1"/>
  <c r="E2" i="1"/>
  <c r="F25" i="2" l="1"/>
  <c r="B3" i="2"/>
  <c r="B25" i="2" s="1"/>
  <c r="B4" i="2"/>
  <c r="B5" i="2"/>
  <c r="B6" i="2"/>
  <c r="B7" i="2"/>
  <c r="B8" i="2"/>
  <c r="B9" i="2"/>
  <c r="C25" i="2"/>
</calcChain>
</file>

<file path=xl/sharedStrings.xml><?xml version="1.0" encoding="utf-8"?>
<sst xmlns="http://schemas.openxmlformats.org/spreadsheetml/2006/main" count="429" uniqueCount="179">
  <si>
    <t xml:space="preserve"> </t>
  </si>
  <si>
    <t>nM (copy for each pool from Sheet1  column O -  make sure  to use paste special to copy values only)</t>
  </si>
  <si>
    <t xml:space="preserve">Copy the 2 organe lanes into Sheet 1 for each pool you are making.  Make sure to use PASTE SPECIAL to only paste the values. </t>
  </si>
  <si>
    <t>Total vol. pool</t>
  </si>
  <si>
    <t>Actual nM of Pool</t>
  </si>
  <si>
    <t>Volume for 2.5nM dil</t>
  </si>
  <si>
    <t>EB for 2.5nM dil</t>
  </si>
  <si>
    <t>Average lib size for Pool</t>
  </si>
  <si>
    <t>volume to pool from each tube  (copy this back to Sheet1 column Q)</t>
  </si>
  <si>
    <t>Theorical  Molarity  nM</t>
  </si>
  <si>
    <t>Qubit of Pool (ng/ul)</t>
  </si>
  <si>
    <t>RIN</t>
  </si>
  <si>
    <t xml:space="preserve">Qubit </t>
  </si>
  <si>
    <t>Total RNA ID</t>
  </si>
  <si>
    <t>Vol (ul) for 1.1 ug</t>
  </si>
  <si>
    <t>Box 1</t>
  </si>
  <si>
    <t>Position</t>
  </si>
  <si>
    <t>Box 2</t>
  </si>
  <si>
    <t>DU17-04S0024679</t>
  </si>
  <si>
    <t>DU17-04S0024680</t>
  </si>
  <si>
    <t>DU17-04S0024681</t>
  </si>
  <si>
    <t>DU17-04S0024682</t>
  </si>
  <si>
    <t>DU17-04S0024683</t>
  </si>
  <si>
    <t>DU17-04S0024684</t>
  </si>
  <si>
    <t>DU17-04S0024685</t>
  </si>
  <si>
    <t>DU17-04S0024686</t>
  </si>
  <si>
    <t>DU17-04S0024687</t>
  </si>
  <si>
    <t>DU17-04S0024688</t>
  </si>
  <si>
    <t>DU17-04S0024689</t>
  </si>
  <si>
    <t>DU17-04S0024690</t>
  </si>
  <si>
    <t>DU17-04S0024691</t>
  </si>
  <si>
    <t>DU17-04S0024692</t>
  </si>
  <si>
    <t>DU17-04S0024693</t>
  </si>
  <si>
    <t>DU17-04S0024694</t>
  </si>
  <si>
    <t>DU17-04S0024695</t>
  </si>
  <si>
    <t>DU17-04S0024696</t>
  </si>
  <si>
    <t>DU17-04S0024697</t>
  </si>
  <si>
    <t>DU17-04S0024698</t>
  </si>
  <si>
    <t>DU17-04S0024699</t>
  </si>
  <si>
    <t>DU17-04S0024700</t>
  </si>
  <si>
    <t>DU17-04S0024701</t>
  </si>
  <si>
    <t>DU17-04S0024702</t>
  </si>
  <si>
    <t>DU17-04S0024703</t>
  </si>
  <si>
    <t>DU17-04S0024704</t>
  </si>
  <si>
    <t>DU17-04S0024705</t>
  </si>
  <si>
    <t>DU17-04S0024706</t>
  </si>
  <si>
    <t>DU17-04S0024707</t>
  </si>
  <si>
    <t>DU17-04S0024708</t>
  </si>
  <si>
    <t>DU17-04S0024709</t>
  </si>
  <si>
    <t>DU17-04S0024710</t>
  </si>
  <si>
    <t>DU17-04S0024711</t>
  </si>
  <si>
    <t>DU17-04S0024712</t>
  </si>
  <si>
    <t>DU17-04S0024713</t>
  </si>
  <si>
    <t>DU17-04S0024714</t>
  </si>
  <si>
    <t>DU17-04S0024715</t>
  </si>
  <si>
    <t>DU17-04S0024716</t>
  </si>
  <si>
    <t>DU17-04S0024717</t>
  </si>
  <si>
    <t>DU17-04S0024718</t>
  </si>
  <si>
    <t>DU17-04S0024719</t>
  </si>
  <si>
    <t>DU17-04S0024720</t>
  </si>
  <si>
    <t>DU17-04S0024721</t>
  </si>
  <si>
    <t>DU17-04S0024722</t>
  </si>
  <si>
    <t>DU17-04S0024723</t>
  </si>
  <si>
    <t>DU17-04S0024724</t>
  </si>
  <si>
    <t>DU17-04S0024725</t>
  </si>
  <si>
    <t>DU17-04S0024726</t>
  </si>
  <si>
    <t>DU17-04S0024727</t>
  </si>
  <si>
    <t>DU17-04S0024728</t>
  </si>
  <si>
    <t>DU17-04S0024729</t>
  </si>
  <si>
    <t>DU17-04S0024730</t>
  </si>
  <si>
    <t>DU17-04S0024731</t>
  </si>
  <si>
    <t>DU17-04S0024732</t>
  </si>
  <si>
    <t>DU17-04S0024733</t>
  </si>
  <si>
    <t>DU17-04S0024734</t>
  </si>
  <si>
    <t>DU17-04S0024735</t>
  </si>
  <si>
    <t>DU17-04S0024736</t>
  </si>
  <si>
    <t>DU17-04S0024737</t>
  </si>
  <si>
    <t>DU17-04S0024738</t>
  </si>
  <si>
    <t>DU17-04S0024739</t>
  </si>
  <si>
    <t>DU17-04S0024740</t>
  </si>
  <si>
    <t>DU17-04S0024741</t>
  </si>
  <si>
    <t>DU17-04S0024742</t>
  </si>
  <si>
    <t>DU17-04S0024743</t>
  </si>
  <si>
    <t>DU17-04S0024744</t>
  </si>
  <si>
    <t>DU17-04S0024745</t>
  </si>
  <si>
    <t>DU17-04S0024746</t>
  </si>
  <si>
    <t>DU17-04S0024747</t>
  </si>
  <si>
    <t>DU17-04S0024748</t>
  </si>
  <si>
    <t>DU17-04S0024749</t>
  </si>
  <si>
    <t>DU17-04S0024750</t>
  </si>
  <si>
    <t>DU17-04S0024751</t>
  </si>
  <si>
    <t>DU17-04S0024752</t>
  </si>
  <si>
    <t>DU17-04S0024753</t>
  </si>
  <si>
    <t>DU17-04S0024754</t>
  </si>
  <si>
    <t>DU17-04S0024755</t>
  </si>
  <si>
    <t>DU17-04S0024756</t>
  </si>
  <si>
    <t>DU17-04S0024757</t>
  </si>
  <si>
    <t>DU17-04S0024758</t>
  </si>
  <si>
    <t>DU17-04S0024759</t>
  </si>
  <si>
    <t>DU17-04S0024760</t>
  </si>
  <si>
    <t>DU17-04S0024761</t>
  </si>
  <si>
    <t>DU17-04S0024762</t>
  </si>
  <si>
    <t>DU17-04S0024763</t>
  </si>
  <si>
    <t>DU17-04S0024764</t>
  </si>
  <si>
    <t>DU17-04S0024765</t>
  </si>
  <si>
    <t>DU17-04S0024766</t>
  </si>
  <si>
    <t>DU17-04S0024767</t>
  </si>
  <si>
    <t>DU17-04S0024768</t>
  </si>
  <si>
    <t>DU17-04S0024769</t>
  </si>
  <si>
    <t>DU17-04S0024770</t>
  </si>
  <si>
    <t>DU17-04S0024771</t>
  </si>
  <si>
    <t>DU17-04S0024772</t>
  </si>
  <si>
    <t>DU17-04S0024773</t>
  </si>
  <si>
    <t>DU17-04S0024774</t>
  </si>
  <si>
    <t>DU17-04S0024775</t>
  </si>
  <si>
    <t>DU17-04S0024776</t>
  </si>
  <si>
    <t>DU17-04S0024777</t>
  </si>
  <si>
    <t>DU17-04S0024778</t>
  </si>
  <si>
    <t>DU17-04S0024779</t>
  </si>
  <si>
    <t>DU17-04S0024780</t>
  </si>
  <si>
    <t>DU17-04S0024781</t>
  </si>
  <si>
    <t>DU17-04S0024782</t>
  </si>
  <si>
    <t>DU17-04S0024783</t>
  </si>
  <si>
    <t>DU17-04S0024784</t>
  </si>
  <si>
    <t>DU17-04S0024785</t>
  </si>
  <si>
    <t>DU17-04S0024786</t>
  </si>
  <si>
    <t>DU17-04S0024787</t>
  </si>
  <si>
    <t>DU17-04S0024788</t>
  </si>
  <si>
    <t>DU17-04S0024789</t>
  </si>
  <si>
    <t>DU17-04S0024790</t>
  </si>
  <si>
    <t>DU17-04S0024791</t>
  </si>
  <si>
    <t>Participant ID</t>
  </si>
  <si>
    <t>PROM021</t>
  </si>
  <si>
    <t>PROM022</t>
  </si>
  <si>
    <t>PROM023</t>
  </si>
  <si>
    <t>PROM024</t>
  </si>
  <si>
    <t>PROM025</t>
  </si>
  <si>
    <t>PROM026</t>
  </si>
  <si>
    <t>PROM027</t>
  </si>
  <si>
    <t>PROM028</t>
  </si>
  <si>
    <t>PROM029</t>
  </si>
  <si>
    <t>PROM030</t>
  </si>
  <si>
    <t>PROM031</t>
  </si>
  <si>
    <t>PROM032</t>
  </si>
  <si>
    <t>PROM033</t>
  </si>
  <si>
    <t>PROM034</t>
  </si>
  <si>
    <t>PROM035</t>
  </si>
  <si>
    <t>PROM036</t>
  </si>
  <si>
    <t>PROM037</t>
  </si>
  <si>
    <t>PROM038</t>
  </si>
  <si>
    <t>PROM039</t>
  </si>
  <si>
    <t>PROM014</t>
  </si>
  <si>
    <t>DU17-04S0019771</t>
  </si>
  <si>
    <t>DU17-04S0019776</t>
  </si>
  <si>
    <t>DU17-04S0019799</t>
  </si>
  <si>
    <t>DU17-04S0019803</t>
  </si>
  <si>
    <t>DU17-04S0019807</t>
  </si>
  <si>
    <t>DU17-04S0019808</t>
  </si>
  <si>
    <t>PROM015</t>
  </si>
  <si>
    <t>DU17-04S0019764</t>
  </si>
  <si>
    <t>DU17-04S0019777</t>
  </si>
  <si>
    <t>DU17-04S0019798</t>
  </si>
  <si>
    <t>DU17-04S0019800</t>
  </si>
  <si>
    <t>DU17-04S0019804</t>
  </si>
  <si>
    <t>DU17-04S0019809</t>
  </si>
  <si>
    <t>PROM012</t>
  </si>
  <si>
    <t>DU17-04S0019751</t>
  </si>
  <si>
    <t>DU17-04S0019757</t>
  </si>
  <si>
    <t>DU17-04S0019763</t>
  </si>
  <si>
    <t>DU17-04S0019783</t>
  </si>
  <si>
    <t>DU17-04S0019792</t>
  </si>
  <si>
    <t>DU17-04S0019794</t>
  </si>
  <si>
    <t>PROM018</t>
  </si>
  <si>
    <t>DU17-04S0019755</t>
  </si>
  <si>
    <t>DU17-04S0019756</t>
  </si>
  <si>
    <t>DU17-04S0019772</t>
  </si>
  <si>
    <t>DU17-04S0019812</t>
  </si>
  <si>
    <t>DU17-04S0019815</t>
  </si>
  <si>
    <t>DU17-04S0019818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</si>
</sst>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Calibri"/>
      <family val="2"/>
      <scheme val="minor"/>
    </font>
    <font>
      <sz val="8"/>
      <name val="Calibri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7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36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4" fontId="0" fillId="3" borderId="0" xfId="0" applyNumberFormat="1" applyFill="1"/>
    <xf numFmtId="164" fontId="3" fillId="0" borderId="0" xfId="0" applyNumberFormat="1" applyFont="1" applyFill="1" applyBorder="1"/>
    <xf numFmtId="0" fontId="3" fillId="0" borderId="0" xfId="0" applyFont="1" applyFill="1" applyBorder="1"/>
    <xf numFmtId="2" fontId="0" fillId="3" borderId="0" xfId="0" applyNumberFormat="1" applyFill="1" applyAlignment="1">
      <alignment horizontal="left"/>
    </xf>
    <xf numFmtId="0" fontId="0" fillId="3" borderId="0" xfId="0" applyFill="1"/>
    <xf numFmtId="0" fontId="2" fillId="3" borderId="0" xfId="0" applyFont="1" applyFill="1" applyAlignment="1" applyProtection="1">
      <alignment horizontal="left" wrapText="1"/>
      <protection locked="0"/>
    </xf>
    <xf numFmtId="0" fontId="2" fillId="3" borderId="0" xfId="0" applyFont="1" applyFill="1" applyAlignment="1" applyProtection="1">
      <alignment horizontal="left"/>
      <protection locked="0"/>
    </xf>
    <xf numFmtId="164" fontId="2" fillId="0" borderId="0" xfId="0" applyNumberFormat="1" applyFont="1" applyFill="1" applyAlignment="1">
      <alignment horizontal="center" wrapText="1"/>
    </xf>
    <xf numFmtId="0" fontId="4" fillId="0" borderId="0" xfId="0" applyFont="1" applyBorder="1" applyAlignment="1" applyProtection="1">
      <alignment horizontal="left"/>
      <protection locked="0"/>
    </xf>
    <xf numFmtId="0" fontId="4" fillId="0" borderId="0" xfId="0" applyFont="1" applyBorder="1" applyAlignment="1" applyProtection="1">
      <alignment horizontal="center"/>
      <protection locked="0"/>
    </xf>
    <xf numFmtId="2" fontId="4" fillId="0" borderId="0" xfId="0" applyNumberFormat="1" applyFont="1" applyBorder="1" applyAlignment="1" applyProtection="1">
      <alignment horizontal="center"/>
      <protection locked="0"/>
    </xf>
    <xf numFmtId="0" fontId="4" fillId="0" borderId="0" xfId="0" applyFont="1" applyBorder="1" applyAlignment="1">
      <alignment horizontal="left"/>
    </xf>
    <xf numFmtId="0" fontId="4" fillId="0" borderId="0" xfId="0" applyFont="1" applyFill="1" applyBorder="1" applyAlignment="1" applyProtection="1">
      <alignment horizontal="center"/>
      <protection locked="0"/>
    </xf>
    <xf numFmtId="2" fontId="4" fillId="0" borderId="0" xfId="0" applyNumberFormat="1" applyFont="1" applyBorder="1" applyAlignment="1" applyProtection="1">
      <alignment horizontal="left"/>
      <protection locked="0"/>
    </xf>
    <xf numFmtId="0" fontId="5" fillId="2" borderId="0" xfId="0" applyFont="1" applyFill="1" applyBorder="1" applyAlignment="1" applyProtection="1">
      <alignment horizontal="left"/>
    </xf>
    <xf numFmtId="2" fontId="5" fillId="2" borderId="0" xfId="0" applyNumberFormat="1" applyFont="1" applyFill="1" applyBorder="1" applyAlignment="1" applyProtection="1">
      <alignment horizontal="left"/>
    </xf>
    <xf numFmtId="0" fontId="5" fillId="2" borderId="0" xfId="0" applyFont="1" applyFill="1" applyBorder="1" applyAlignment="1" applyProtection="1">
      <alignment horizontal="center" wrapText="1"/>
      <protection locked="0"/>
    </xf>
    <xf numFmtId="0" fontId="5" fillId="2" borderId="0" xfId="0" applyFont="1" applyFill="1" applyBorder="1" applyAlignment="1" applyProtection="1">
      <alignment horizontal="left"/>
      <protection locked="0"/>
    </xf>
    <xf numFmtId="0" fontId="4" fillId="2" borderId="0" xfId="0" applyFont="1" applyFill="1" applyBorder="1" applyAlignment="1" applyProtection="1">
      <alignment horizontal="left"/>
      <protection locked="0"/>
    </xf>
    <xf numFmtId="0" fontId="4" fillId="2" borderId="0" xfId="0" applyFont="1" applyFill="1" applyBorder="1" applyAlignment="1">
      <alignment horizontal="left"/>
    </xf>
    <xf numFmtId="0" fontId="4" fillId="0" borderId="0" xfId="0" applyFont="1" applyBorder="1"/>
    <xf numFmtId="0" fontId="4" fillId="0" borderId="0" xfId="0" applyFont="1" applyFill="1" applyBorder="1" applyAlignment="1">
      <alignment horizontal="left" vertical="center"/>
    </xf>
    <xf numFmtId="164" fontId="4" fillId="0" borderId="0" xfId="0" applyNumberFormat="1" applyFont="1" applyFill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0" fontId="4" fillId="0" borderId="0" xfId="0" applyFont="1" applyFill="1" applyBorder="1" applyAlignment="1" applyProtection="1">
      <alignment horizontal="left"/>
      <protection locked="0"/>
    </xf>
    <xf numFmtId="0" fontId="4" fillId="0" borderId="0" xfId="0" applyFont="1" applyFill="1" applyBorder="1" applyAlignment="1">
      <alignment horizontal="left"/>
    </xf>
    <xf numFmtId="0" fontId="5" fillId="2" borderId="0" xfId="0" applyFont="1" applyFill="1" applyBorder="1"/>
    <xf numFmtId="0" fontId="4" fillId="0" borderId="0" xfId="0" applyFont="1" applyFill="1" applyBorder="1"/>
    <xf numFmtId="2" fontId="4" fillId="0" borderId="0" xfId="0" applyNumberFormat="1" applyFont="1" applyFill="1" applyBorder="1" applyAlignment="1" applyProtection="1">
      <alignment horizontal="center"/>
      <protection locked="0"/>
    </xf>
    <xf numFmtId="0" fontId="7" fillId="0" borderId="0" xfId="0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2" xfId="1" xr:uid="{4DCE76D3-0773-7847-9911-420C6E4C5454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38"/>
  <sheetViews>
    <sheetView tabSelected="1" zoomScale="142" zoomScaleNormal="142" workbookViewId="0">
      <pane ySplit="1" topLeftCell="A2" activePane="bottomLeft" state="frozen"/>
      <selection pane="bottomLeft" activeCell="I15" sqref="I15"/>
    </sheetView>
  </sheetViews>
  <sheetFormatPr baseColWidth="10" defaultColWidth="10.83203125" defaultRowHeight="15" x14ac:dyDescent="0.2"/>
  <cols>
    <col min="1" max="2" width="18" style="14" customWidth="1"/>
    <col min="3" max="3" width="9" style="19" customWidth="1"/>
    <col min="4" max="4" width="8" style="14" customWidth="1"/>
    <col min="5" max="5" width="10.83203125" style="15"/>
    <col min="6" max="6" width="10.83203125" style="14"/>
    <col min="7" max="7" width="10.83203125" style="30"/>
    <col min="8" max="11" width="10.83203125" style="14"/>
    <col min="12" max="16384" width="10.83203125" style="17"/>
  </cols>
  <sheetData>
    <row r="1" spans="1:11" s="25" customFormat="1" ht="38" customHeight="1" x14ac:dyDescent="0.2">
      <c r="A1" s="32" t="s">
        <v>131</v>
      </c>
      <c r="B1" s="20" t="s">
        <v>13</v>
      </c>
      <c r="C1" s="21" t="s">
        <v>12</v>
      </c>
      <c r="D1" s="20" t="s">
        <v>11</v>
      </c>
      <c r="E1" s="22" t="s">
        <v>14</v>
      </c>
      <c r="F1" s="23" t="s">
        <v>15</v>
      </c>
      <c r="G1" s="23" t="s">
        <v>16</v>
      </c>
      <c r="H1" s="24"/>
      <c r="I1" s="24"/>
      <c r="J1" s="24"/>
      <c r="K1" s="24"/>
    </row>
    <row r="2" spans="1:11" x14ac:dyDescent="0.2">
      <c r="A2" s="26" t="s">
        <v>132</v>
      </c>
      <c r="B2" s="27" t="s">
        <v>18</v>
      </c>
      <c r="C2" s="28">
        <v>107.23009907755376</v>
      </c>
      <c r="D2" s="15">
        <v>6.8</v>
      </c>
      <c r="E2" s="16">
        <f>1100/C2</f>
        <v>10.258313752041106</v>
      </c>
      <c r="F2" s="14" t="s">
        <v>15</v>
      </c>
      <c r="G2" s="30">
        <v>1</v>
      </c>
    </row>
    <row r="3" spans="1:11" x14ac:dyDescent="0.2">
      <c r="A3" s="26" t="s">
        <v>132</v>
      </c>
      <c r="B3" s="27" t="s">
        <v>19</v>
      </c>
      <c r="C3" s="29">
        <v>116.84745473180726</v>
      </c>
      <c r="D3" s="15">
        <v>6.6</v>
      </c>
      <c r="E3" s="16">
        <f>1100/C3</f>
        <v>9.4139834070392201</v>
      </c>
      <c r="F3" s="14" t="s">
        <v>15</v>
      </c>
      <c r="G3" s="30">
        <v>2</v>
      </c>
    </row>
    <row r="4" spans="1:11" x14ac:dyDescent="0.2">
      <c r="A4" s="26" t="s">
        <v>132</v>
      </c>
      <c r="B4" s="27" t="s">
        <v>20</v>
      </c>
      <c r="C4" s="29">
        <v>69.550734540485095</v>
      </c>
      <c r="D4" s="15">
        <v>7.5</v>
      </c>
      <c r="E4" s="16">
        <f>1100/C4</f>
        <v>15.815792705391143</v>
      </c>
      <c r="F4" s="14" t="s">
        <v>15</v>
      </c>
      <c r="G4" s="30">
        <v>3</v>
      </c>
    </row>
    <row r="5" spans="1:11" x14ac:dyDescent="0.2">
      <c r="A5" s="26" t="s">
        <v>132</v>
      </c>
      <c r="B5" s="27" t="s">
        <v>21</v>
      </c>
      <c r="C5" s="29">
        <v>85.142637512811703</v>
      </c>
      <c r="D5" s="15">
        <v>7.4</v>
      </c>
      <c r="E5" s="16">
        <f>1100/C5</f>
        <v>12.919496413703172</v>
      </c>
      <c r="F5" s="14" t="s">
        <v>15</v>
      </c>
      <c r="G5" s="30">
        <v>4</v>
      </c>
    </row>
    <row r="6" spans="1:11" x14ac:dyDescent="0.2">
      <c r="A6" s="26" t="s">
        <v>132</v>
      </c>
      <c r="B6" s="27" t="s">
        <v>22</v>
      </c>
      <c r="C6" s="29">
        <v>100.70891697984278</v>
      </c>
      <c r="D6" s="15">
        <v>7.1</v>
      </c>
      <c r="E6" s="16">
        <f>1100/C6</f>
        <v>10.922568060385046</v>
      </c>
      <c r="F6" s="14" t="s">
        <v>15</v>
      </c>
      <c r="G6" s="30">
        <v>5</v>
      </c>
      <c r="H6" s="17"/>
      <c r="I6" s="17"/>
      <c r="J6" s="17"/>
      <c r="K6" s="17"/>
    </row>
    <row r="7" spans="1:11" x14ac:dyDescent="0.2">
      <c r="A7" s="26" t="s">
        <v>132</v>
      </c>
      <c r="B7" s="27" t="s">
        <v>23</v>
      </c>
      <c r="C7" s="28">
        <v>58.250768705158805</v>
      </c>
      <c r="D7" s="18">
        <v>7.8</v>
      </c>
      <c r="E7" s="16">
        <f t="shared" ref="E7:E88" si="0">1100/C7</f>
        <v>18.883870967741956</v>
      </c>
      <c r="F7" s="14" t="s">
        <v>15</v>
      </c>
      <c r="G7" s="30">
        <v>6</v>
      </c>
      <c r="H7" s="17"/>
      <c r="I7" s="17"/>
      <c r="J7" s="17"/>
      <c r="K7" s="17"/>
    </row>
    <row r="8" spans="1:11" x14ac:dyDescent="0.2">
      <c r="A8" s="26" t="s">
        <v>133</v>
      </c>
      <c r="B8" s="27" t="s">
        <v>24</v>
      </c>
      <c r="C8" s="29">
        <v>83.314827468397638</v>
      </c>
      <c r="D8" s="15">
        <v>7.4</v>
      </c>
      <c r="E8" s="16">
        <f t="shared" si="0"/>
        <v>13.20293198011175</v>
      </c>
      <c r="F8" s="14" t="s">
        <v>15</v>
      </c>
      <c r="G8" s="30">
        <v>7</v>
      </c>
      <c r="H8" s="17"/>
      <c r="I8" s="17"/>
      <c r="J8" s="17"/>
      <c r="K8" s="17"/>
    </row>
    <row r="9" spans="1:11" x14ac:dyDescent="0.2">
      <c r="A9" s="26" t="s">
        <v>133</v>
      </c>
      <c r="B9" s="27" t="s">
        <v>25</v>
      </c>
      <c r="C9" s="29">
        <v>79.360266484455011</v>
      </c>
      <c r="D9" s="15">
        <v>7.7</v>
      </c>
      <c r="E9" s="16">
        <f t="shared" si="0"/>
        <v>13.860840553193791</v>
      </c>
      <c r="F9" s="14" t="s">
        <v>15</v>
      </c>
      <c r="G9" s="30">
        <v>8</v>
      </c>
      <c r="H9" s="17"/>
      <c r="I9" s="17"/>
      <c r="J9" s="17"/>
      <c r="K9" s="17"/>
    </row>
    <row r="10" spans="1:11" x14ac:dyDescent="0.2">
      <c r="A10" s="26" t="s">
        <v>133</v>
      </c>
      <c r="B10" s="27" t="s">
        <v>26</v>
      </c>
      <c r="C10" s="29">
        <v>72.941578407926144</v>
      </c>
      <c r="D10" s="15">
        <v>7.6</v>
      </c>
      <c r="E10" s="16">
        <f t="shared" si="0"/>
        <v>15.080562060889942</v>
      </c>
      <c r="F10" s="14" t="s">
        <v>15</v>
      </c>
      <c r="G10" s="30">
        <v>9</v>
      </c>
    </row>
    <row r="11" spans="1:11" x14ac:dyDescent="0.2">
      <c r="A11" s="26" t="s">
        <v>133</v>
      </c>
      <c r="B11" s="27" t="s">
        <v>27</v>
      </c>
      <c r="C11" s="29">
        <v>87.798940895114399</v>
      </c>
      <c r="D11" s="15">
        <v>7.2</v>
      </c>
      <c r="E11" s="16">
        <f t="shared" si="0"/>
        <v>12.528624933119323</v>
      </c>
      <c r="F11" s="14" t="s">
        <v>15</v>
      </c>
      <c r="G11" s="30">
        <v>10</v>
      </c>
    </row>
    <row r="12" spans="1:11" x14ac:dyDescent="0.2">
      <c r="A12" s="26" t="s">
        <v>133</v>
      </c>
      <c r="B12" s="27" t="s">
        <v>28</v>
      </c>
      <c r="C12" s="29">
        <v>79.821489579774465</v>
      </c>
      <c r="D12" s="15">
        <v>7.2</v>
      </c>
      <c r="E12" s="16">
        <f t="shared" si="0"/>
        <v>13.780750093627958</v>
      </c>
      <c r="F12" s="14" t="s">
        <v>15</v>
      </c>
      <c r="G12" s="30">
        <v>11</v>
      </c>
    </row>
    <row r="13" spans="1:11" x14ac:dyDescent="0.2">
      <c r="A13" s="26" t="s">
        <v>133</v>
      </c>
      <c r="B13" s="27" t="s">
        <v>29</v>
      </c>
      <c r="C13" s="29">
        <v>76.703963102152329</v>
      </c>
      <c r="D13" s="15">
        <v>7.9</v>
      </c>
      <c r="E13" s="16">
        <f t="shared" si="0"/>
        <v>14.340849618618126</v>
      </c>
      <c r="F13" s="14" t="s">
        <v>15</v>
      </c>
      <c r="G13" s="30">
        <v>12</v>
      </c>
    </row>
    <row r="14" spans="1:11" x14ac:dyDescent="0.2">
      <c r="A14" s="26" t="s">
        <v>134</v>
      </c>
      <c r="B14" s="27" t="s">
        <v>30</v>
      </c>
      <c r="C14" s="29">
        <v>108.64793303723944</v>
      </c>
      <c r="D14" s="15">
        <v>7.4</v>
      </c>
      <c r="E14" s="16">
        <f t="shared" si="0"/>
        <v>10.124444793836725</v>
      </c>
      <c r="F14" s="14" t="s">
        <v>15</v>
      </c>
      <c r="G14" s="30">
        <v>13</v>
      </c>
    </row>
    <row r="15" spans="1:11" x14ac:dyDescent="0.2">
      <c r="A15" s="26" t="s">
        <v>134</v>
      </c>
      <c r="B15" s="27" t="s">
        <v>31</v>
      </c>
      <c r="C15" s="29">
        <v>63.332763922104498</v>
      </c>
      <c r="D15" s="15">
        <v>7.7</v>
      </c>
      <c r="E15" s="16">
        <f t="shared" si="0"/>
        <v>17.368577208361444</v>
      </c>
      <c r="F15" s="14" t="s">
        <v>15</v>
      </c>
      <c r="G15" s="30">
        <v>14</v>
      </c>
    </row>
    <row r="16" spans="1:11" x14ac:dyDescent="0.2">
      <c r="A16" s="26" t="s">
        <v>134</v>
      </c>
      <c r="B16" s="27" t="s">
        <v>32</v>
      </c>
      <c r="C16" s="29">
        <v>64.016057396651803</v>
      </c>
      <c r="D16" s="15">
        <v>7</v>
      </c>
      <c r="E16" s="16">
        <f t="shared" si="0"/>
        <v>17.18318879252837</v>
      </c>
      <c r="F16" s="14" t="s">
        <v>15</v>
      </c>
      <c r="G16" s="30">
        <v>15</v>
      </c>
    </row>
    <row r="17" spans="1:8" x14ac:dyDescent="0.2">
      <c r="A17" s="26" t="s">
        <v>134</v>
      </c>
      <c r="B17" s="27" t="s">
        <v>33</v>
      </c>
      <c r="C17" s="29">
        <v>88.635975401434877</v>
      </c>
      <c r="D17" s="15">
        <v>7</v>
      </c>
      <c r="E17" s="16">
        <f t="shared" si="0"/>
        <v>12.410310768489525</v>
      </c>
      <c r="F17" s="14" t="s">
        <v>15</v>
      </c>
      <c r="G17" s="30">
        <v>16</v>
      </c>
    </row>
    <row r="18" spans="1:8" x14ac:dyDescent="0.2">
      <c r="A18" s="26" t="s">
        <v>134</v>
      </c>
      <c r="B18" s="27" t="s">
        <v>34</v>
      </c>
      <c r="C18" s="29">
        <v>80.257089169798391</v>
      </c>
      <c r="D18" s="15">
        <v>7.3</v>
      </c>
      <c r="E18" s="16">
        <f t="shared" si="0"/>
        <v>13.705954344702821</v>
      </c>
      <c r="F18" s="14" t="s">
        <v>15</v>
      </c>
      <c r="G18" s="30">
        <v>17</v>
      </c>
    </row>
    <row r="19" spans="1:8" x14ac:dyDescent="0.2">
      <c r="A19" s="33" t="s">
        <v>134</v>
      </c>
      <c r="B19" s="27" t="s">
        <v>35</v>
      </c>
      <c r="C19" s="28">
        <v>33.220874615647354</v>
      </c>
      <c r="D19" s="18">
        <v>8.1999999999999993</v>
      </c>
      <c r="E19" s="34">
        <f t="shared" si="0"/>
        <v>33.111711016840275</v>
      </c>
      <c r="F19" s="30" t="s">
        <v>15</v>
      </c>
      <c r="G19" s="30">
        <v>18</v>
      </c>
      <c r="H19" s="30"/>
    </row>
    <row r="20" spans="1:8" x14ac:dyDescent="0.2">
      <c r="A20" s="35" t="s">
        <v>151</v>
      </c>
      <c r="B20" s="30" t="s">
        <v>152</v>
      </c>
      <c r="C20" s="34">
        <v>97.693254598326504</v>
      </c>
      <c r="D20" s="18">
        <v>7.6</v>
      </c>
      <c r="E20" s="34">
        <v>11.259733382030689</v>
      </c>
      <c r="F20" s="30" t="s">
        <v>15</v>
      </c>
      <c r="G20" s="30">
        <v>19</v>
      </c>
      <c r="H20" s="30"/>
    </row>
    <row r="21" spans="1:8" x14ac:dyDescent="0.2">
      <c r="A21" s="35" t="s">
        <v>151</v>
      </c>
      <c r="B21" s="30" t="s">
        <v>153</v>
      </c>
      <c r="C21" s="34">
        <v>120.53324532139219</v>
      </c>
      <c r="D21" s="18">
        <v>7.3</v>
      </c>
      <c r="E21" s="34">
        <v>9.1261128584643902</v>
      </c>
      <c r="F21" s="30" t="s">
        <v>15</v>
      </c>
      <c r="G21" s="30">
        <v>20</v>
      </c>
      <c r="H21" s="30"/>
    </row>
    <row r="22" spans="1:8" x14ac:dyDescent="0.2">
      <c r="A22" s="35" t="s">
        <v>151</v>
      </c>
      <c r="B22" s="30" t="s">
        <v>154</v>
      </c>
      <c r="C22" s="34">
        <v>101.55567052610914</v>
      </c>
      <c r="D22" s="18">
        <v>6.7</v>
      </c>
      <c r="E22" s="34">
        <v>10.83149758454107</v>
      </c>
      <c r="F22" s="30" t="s">
        <v>15</v>
      </c>
      <c r="G22" s="30">
        <v>21</v>
      </c>
      <c r="H22" s="30"/>
    </row>
    <row r="23" spans="1:8" x14ac:dyDescent="0.2">
      <c r="A23" s="35" t="s">
        <v>151</v>
      </c>
      <c r="B23" s="30" t="s">
        <v>155</v>
      </c>
      <c r="C23" s="34">
        <v>109.41430431912647</v>
      </c>
      <c r="D23" s="18">
        <v>7.8</v>
      </c>
      <c r="E23" s="34">
        <v>10.0535300831567</v>
      </c>
      <c r="F23" s="30" t="s">
        <v>15</v>
      </c>
      <c r="G23" s="30">
        <v>22</v>
      </c>
      <c r="H23" s="30"/>
    </row>
    <row r="24" spans="1:8" x14ac:dyDescent="0.2">
      <c r="A24" s="35" t="s">
        <v>151</v>
      </c>
      <c r="B24" s="30" t="s">
        <v>156</v>
      </c>
      <c r="C24" s="34">
        <v>189.32974149465682</v>
      </c>
      <c r="D24" s="18">
        <v>7.6</v>
      </c>
      <c r="E24" s="34">
        <v>5.809969375736161</v>
      </c>
      <c r="F24" s="30" t="s">
        <v>15</v>
      </c>
      <c r="G24" s="30">
        <v>23</v>
      </c>
      <c r="H24" s="30"/>
    </row>
    <row r="25" spans="1:8" x14ac:dyDescent="0.2">
      <c r="A25" s="35" t="s">
        <v>151</v>
      </c>
      <c r="B25" s="30" t="s">
        <v>157</v>
      </c>
      <c r="C25" s="34">
        <v>158.51515529944868</v>
      </c>
      <c r="D25" s="18">
        <v>6.3</v>
      </c>
      <c r="E25" s="34">
        <v>6.9393995666976194</v>
      </c>
      <c r="F25" s="30" t="s">
        <v>15</v>
      </c>
      <c r="G25" s="30">
        <v>24</v>
      </c>
      <c r="H25" s="30"/>
    </row>
    <row r="26" spans="1:8" x14ac:dyDescent="0.2">
      <c r="A26" s="33" t="s">
        <v>135</v>
      </c>
      <c r="B26" s="27" t="s">
        <v>36</v>
      </c>
      <c r="C26" s="28">
        <v>50.47403484796714</v>
      </c>
      <c r="D26" s="18">
        <v>7.9</v>
      </c>
      <c r="E26" s="34">
        <f t="shared" si="0"/>
        <v>21.793383534986067</v>
      </c>
      <c r="F26" s="30" t="s">
        <v>15</v>
      </c>
      <c r="G26" s="30">
        <v>25</v>
      </c>
      <c r="H26" s="30"/>
    </row>
    <row r="27" spans="1:8" x14ac:dyDescent="0.2">
      <c r="A27" s="33" t="s">
        <v>135</v>
      </c>
      <c r="B27" s="27" t="s">
        <v>37</v>
      </c>
      <c r="C27" s="34">
        <v>84.852237786129109</v>
      </c>
      <c r="D27" s="18">
        <v>7.1</v>
      </c>
      <c r="E27" s="34">
        <f t="shared" si="0"/>
        <v>12.963712315667628</v>
      </c>
      <c r="F27" s="30" t="s">
        <v>15</v>
      </c>
      <c r="G27" s="30">
        <v>26</v>
      </c>
      <c r="H27" s="30"/>
    </row>
    <row r="28" spans="1:8" x14ac:dyDescent="0.2">
      <c r="A28" s="33" t="s">
        <v>135</v>
      </c>
      <c r="B28" s="27" t="s">
        <v>38</v>
      </c>
      <c r="C28" s="34">
        <v>61.624530235736188</v>
      </c>
      <c r="D28" s="18">
        <v>7.8</v>
      </c>
      <c r="E28" s="34">
        <f t="shared" si="0"/>
        <v>17.850034650034669</v>
      </c>
      <c r="F28" s="30" t="s">
        <v>15</v>
      </c>
      <c r="G28" s="30">
        <v>27</v>
      </c>
      <c r="H28" s="30"/>
    </row>
    <row r="29" spans="1:8" x14ac:dyDescent="0.2">
      <c r="A29" s="33" t="s">
        <v>135</v>
      </c>
      <c r="B29" s="27" t="s">
        <v>39</v>
      </c>
      <c r="C29" s="34">
        <v>91.463102152374404</v>
      </c>
      <c r="D29" s="18">
        <v>7.1</v>
      </c>
      <c r="E29" s="34">
        <f t="shared" si="0"/>
        <v>12.02670775552132</v>
      </c>
      <c r="F29" s="30" t="s">
        <v>15</v>
      </c>
      <c r="G29" s="30">
        <v>28</v>
      </c>
      <c r="H29" s="30"/>
    </row>
    <row r="30" spans="1:8" x14ac:dyDescent="0.2">
      <c r="A30" s="33" t="s">
        <v>135</v>
      </c>
      <c r="B30" s="27" t="s">
        <v>40</v>
      </c>
      <c r="C30" s="34">
        <v>33.331909805261297</v>
      </c>
      <c r="D30" s="18">
        <v>8</v>
      </c>
      <c r="E30" s="34">
        <f t="shared" si="0"/>
        <v>33.001409352978925</v>
      </c>
      <c r="F30" s="30" t="s">
        <v>15</v>
      </c>
      <c r="G30" s="30">
        <v>29</v>
      </c>
      <c r="H30" s="30"/>
    </row>
    <row r="31" spans="1:8" x14ac:dyDescent="0.2">
      <c r="A31" s="33" t="s">
        <v>135</v>
      </c>
      <c r="B31" s="27" t="s">
        <v>41</v>
      </c>
      <c r="C31" s="34">
        <v>47.698155107618668</v>
      </c>
      <c r="D31" s="18">
        <v>8.1999999999999993</v>
      </c>
      <c r="E31" s="34">
        <f t="shared" si="0"/>
        <v>23.061688602381619</v>
      </c>
      <c r="F31" s="30" t="s">
        <v>15</v>
      </c>
      <c r="G31" s="30">
        <v>30</v>
      </c>
      <c r="H31" s="30"/>
    </row>
    <row r="32" spans="1:8" x14ac:dyDescent="0.2">
      <c r="A32" s="33" t="s">
        <v>136</v>
      </c>
      <c r="B32" s="27" t="s">
        <v>42</v>
      </c>
      <c r="C32" s="34">
        <v>75.858387427400032</v>
      </c>
      <c r="D32" s="18">
        <v>7.4</v>
      </c>
      <c r="E32" s="34">
        <f t="shared" si="0"/>
        <v>14.500703709958911</v>
      </c>
      <c r="F32" s="30" t="s">
        <v>15</v>
      </c>
      <c r="G32" s="30">
        <v>31</v>
      </c>
      <c r="H32" s="30"/>
    </row>
    <row r="33" spans="1:8" x14ac:dyDescent="0.2">
      <c r="A33" s="33" t="s">
        <v>136</v>
      </c>
      <c r="B33" s="27" t="s">
        <v>43</v>
      </c>
      <c r="C33" s="34">
        <v>74.538776904680503</v>
      </c>
      <c r="D33" s="18">
        <v>7.4</v>
      </c>
      <c r="E33" s="34">
        <f t="shared" si="0"/>
        <v>14.757419502692803</v>
      </c>
      <c r="F33" s="30" t="s">
        <v>15</v>
      </c>
      <c r="G33" s="30">
        <v>32</v>
      </c>
      <c r="H33" s="30"/>
    </row>
    <row r="34" spans="1:8" x14ac:dyDescent="0.2">
      <c r="A34" s="33" t="s">
        <v>136</v>
      </c>
      <c r="B34" s="27" t="s">
        <v>44</v>
      </c>
      <c r="C34" s="34">
        <v>77.857020840450915</v>
      </c>
      <c r="D34" s="18">
        <v>8.1999999999999993</v>
      </c>
      <c r="E34" s="34">
        <f t="shared" si="0"/>
        <v>14.128462508913399</v>
      </c>
      <c r="F34" s="30" t="s">
        <v>15</v>
      </c>
      <c r="G34" s="30">
        <v>33</v>
      </c>
      <c r="H34" s="30"/>
    </row>
    <row r="35" spans="1:8" x14ac:dyDescent="0.2">
      <c r="A35" s="33" t="s">
        <v>136</v>
      </c>
      <c r="B35" s="27" t="s">
        <v>45</v>
      </c>
      <c r="C35" s="34">
        <v>87.098565083703406</v>
      </c>
      <c r="D35" s="18">
        <v>8.5</v>
      </c>
      <c r="E35" s="34">
        <f t="shared" si="0"/>
        <v>12.629369943613638</v>
      </c>
      <c r="F35" s="30" t="s">
        <v>15</v>
      </c>
      <c r="G35" s="30">
        <v>34</v>
      </c>
      <c r="H35" s="30"/>
    </row>
    <row r="36" spans="1:8" x14ac:dyDescent="0.2">
      <c r="A36" s="33" t="s">
        <v>136</v>
      </c>
      <c r="B36" s="27" t="s">
        <v>46</v>
      </c>
      <c r="C36" s="34">
        <v>106.50409976084725</v>
      </c>
      <c r="D36" s="18">
        <v>7.1</v>
      </c>
      <c r="E36" s="34">
        <f t="shared" si="0"/>
        <v>10.328240907815072</v>
      </c>
      <c r="F36" s="30" t="s">
        <v>15</v>
      </c>
      <c r="G36" s="30">
        <v>35</v>
      </c>
      <c r="H36" s="30"/>
    </row>
    <row r="37" spans="1:8" x14ac:dyDescent="0.2">
      <c r="A37" s="33" t="s">
        <v>136</v>
      </c>
      <c r="B37" s="27" t="s">
        <v>47</v>
      </c>
      <c r="C37" s="34">
        <v>57.832251451998587</v>
      </c>
      <c r="D37" s="18">
        <v>8.1</v>
      </c>
      <c r="E37" s="34">
        <f t="shared" si="0"/>
        <v>19.020528725446773</v>
      </c>
      <c r="F37" s="30" t="s">
        <v>15</v>
      </c>
      <c r="G37" s="30">
        <v>36</v>
      </c>
      <c r="H37" s="30"/>
    </row>
    <row r="38" spans="1:8" x14ac:dyDescent="0.2">
      <c r="A38" s="33" t="s">
        <v>137</v>
      </c>
      <c r="B38" s="27" t="s">
        <v>48</v>
      </c>
      <c r="C38" s="34">
        <v>48.244789887256516</v>
      </c>
      <c r="D38" s="18">
        <v>8.1999999999999993</v>
      </c>
      <c r="E38" s="34">
        <f t="shared" si="0"/>
        <v>22.800389483933817</v>
      </c>
      <c r="F38" s="30" t="s">
        <v>15</v>
      </c>
      <c r="G38" s="30">
        <v>37</v>
      </c>
      <c r="H38" s="30"/>
    </row>
    <row r="39" spans="1:8" x14ac:dyDescent="0.2">
      <c r="A39" s="33" t="s">
        <v>137</v>
      </c>
      <c r="B39" s="27" t="s">
        <v>49</v>
      </c>
      <c r="C39" s="34">
        <v>35.296378544584833</v>
      </c>
      <c r="D39" s="18">
        <v>8</v>
      </c>
      <c r="E39" s="34">
        <f t="shared" si="0"/>
        <v>31.164670296430792</v>
      </c>
      <c r="F39" s="30" t="s">
        <v>15</v>
      </c>
      <c r="G39" s="30">
        <v>38</v>
      </c>
      <c r="H39" s="30"/>
    </row>
    <row r="40" spans="1:8" x14ac:dyDescent="0.2">
      <c r="A40" s="33" t="s">
        <v>137</v>
      </c>
      <c r="B40" s="27" t="s">
        <v>50</v>
      </c>
      <c r="C40" s="34">
        <v>60.676460539801788</v>
      </c>
      <c r="D40" s="18">
        <v>8.1999999999999993</v>
      </c>
      <c r="E40" s="34">
        <f t="shared" si="0"/>
        <v>18.128941441441459</v>
      </c>
      <c r="F40" s="30" t="s">
        <v>15</v>
      </c>
      <c r="G40" s="30">
        <v>39</v>
      </c>
      <c r="H40" s="30"/>
    </row>
    <row r="41" spans="1:8" x14ac:dyDescent="0.2">
      <c r="A41" s="33" t="s">
        <v>137</v>
      </c>
      <c r="B41" s="27" t="s">
        <v>51</v>
      </c>
      <c r="C41" s="34">
        <v>65.365562008882762</v>
      </c>
      <c r="D41" s="18">
        <v>7.8</v>
      </c>
      <c r="E41" s="34">
        <f t="shared" si="0"/>
        <v>16.828433294133035</v>
      </c>
      <c r="F41" s="30" t="s">
        <v>15</v>
      </c>
      <c r="G41" s="30">
        <v>40</v>
      </c>
      <c r="H41" s="30"/>
    </row>
    <row r="42" spans="1:8" x14ac:dyDescent="0.2">
      <c r="A42" s="33" t="s">
        <v>137</v>
      </c>
      <c r="B42" s="27" t="s">
        <v>52</v>
      </c>
      <c r="C42" s="34">
        <v>44.819781346088085</v>
      </c>
      <c r="D42" s="18">
        <v>8.1999999999999993</v>
      </c>
      <c r="E42" s="34">
        <f t="shared" si="0"/>
        <v>24.542734635540768</v>
      </c>
      <c r="F42" s="30" t="s">
        <v>15</v>
      </c>
      <c r="G42" s="30">
        <v>41</v>
      </c>
      <c r="H42" s="30"/>
    </row>
    <row r="43" spans="1:8" x14ac:dyDescent="0.2">
      <c r="A43" s="33" t="s">
        <v>137</v>
      </c>
      <c r="B43" s="27" t="s">
        <v>53</v>
      </c>
      <c r="C43" s="34">
        <v>52.728903313973291</v>
      </c>
      <c r="D43" s="18">
        <v>8.3000000000000007</v>
      </c>
      <c r="E43" s="34">
        <f t="shared" si="0"/>
        <v>20.861423827650466</v>
      </c>
      <c r="F43" s="30" t="s">
        <v>15</v>
      </c>
      <c r="G43" s="30">
        <v>42</v>
      </c>
      <c r="H43" s="30"/>
    </row>
    <row r="44" spans="1:8" x14ac:dyDescent="0.2">
      <c r="A44" s="33" t="s">
        <v>138</v>
      </c>
      <c r="B44" s="27" t="s">
        <v>54</v>
      </c>
      <c r="C44" s="34">
        <v>94.166381961052238</v>
      </c>
      <c r="D44" s="18">
        <v>7.4</v>
      </c>
      <c r="E44" s="34">
        <f t="shared" si="0"/>
        <v>11.681451247165537</v>
      </c>
      <c r="F44" s="30" t="s">
        <v>15</v>
      </c>
      <c r="G44" s="30">
        <v>43</v>
      </c>
      <c r="H44" s="30"/>
    </row>
    <row r="45" spans="1:8" x14ac:dyDescent="0.2">
      <c r="A45" s="33" t="s">
        <v>138</v>
      </c>
      <c r="B45" s="27" t="s">
        <v>55</v>
      </c>
      <c r="C45" s="34">
        <v>85.706354629313253</v>
      </c>
      <c r="D45" s="18">
        <v>7.2</v>
      </c>
      <c r="E45" s="34">
        <f t="shared" si="0"/>
        <v>12.834520902885052</v>
      </c>
      <c r="F45" s="30" t="s">
        <v>15</v>
      </c>
      <c r="G45" s="30">
        <v>44</v>
      </c>
      <c r="H45" s="30"/>
    </row>
    <row r="46" spans="1:8" x14ac:dyDescent="0.2">
      <c r="A46" s="33" t="s">
        <v>138</v>
      </c>
      <c r="B46" s="27" t="s">
        <v>56</v>
      </c>
      <c r="C46" s="34">
        <v>82.802357362487143</v>
      </c>
      <c r="D46" s="18">
        <v>7.3</v>
      </c>
      <c r="E46" s="34">
        <f t="shared" si="0"/>
        <v>13.284645933261135</v>
      </c>
      <c r="F46" s="30" t="s">
        <v>15</v>
      </c>
      <c r="G46" s="30">
        <v>45</v>
      </c>
      <c r="H46" s="30"/>
    </row>
    <row r="47" spans="1:8" x14ac:dyDescent="0.2">
      <c r="A47" s="33" t="s">
        <v>138</v>
      </c>
      <c r="B47" s="27" t="s">
        <v>57</v>
      </c>
      <c r="C47" s="34">
        <v>15.604714724974308</v>
      </c>
      <c r="D47" s="18">
        <v>7.3</v>
      </c>
      <c r="E47" s="34">
        <f t="shared" si="0"/>
        <v>70.491516146688866</v>
      </c>
      <c r="F47" s="30" t="s">
        <v>15</v>
      </c>
      <c r="G47" s="30">
        <v>46</v>
      </c>
      <c r="H47" s="30"/>
    </row>
    <row r="48" spans="1:8" x14ac:dyDescent="0.2">
      <c r="A48" s="33" t="s">
        <v>138</v>
      </c>
      <c r="B48" s="27" t="s">
        <v>58</v>
      </c>
      <c r="C48" s="34">
        <v>75.849846258968185</v>
      </c>
      <c r="D48" s="18">
        <v>7.3</v>
      </c>
      <c r="E48" s="34">
        <f t="shared" si="0"/>
        <v>14.502336580147523</v>
      </c>
      <c r="F48" s="30" t="s">
        <v>15</v>
      </c>
      <c r="G48" s="30">
        <v>47</v>
      </c>
      <c r="H48" s="30"/>
    </row>
    <row r="49" spans="1:8" x14ac:dyDescent="0.2">
      <c r="A49" s="35" t="s">
        <v>165</v>
      </c>
      <c r="B49" s="30" t="s">
        <v>166</v>
      </c>
      <c r="C49" s="34">
        <v>87.894492712254404</v>
      </c>
      <c r="D49" s="18">
        <v>6.4</v>
      </c>
      <c r="E49" s="34">
        <v>12.515004820622124</v>
      </c>
      <c r="F49" s="30" t="s">
        <v>15</v>
      </c>
      <c r="G49" s="30">
        <v>48</v>
      </c>
      <c r="H49" s="31"/>
    </row>
    <row r="50" spans="1:8" x14ac:dyDescent="0.2">
      <c r="A50" s="35" t="s">
        <v>165</v>
      </c>
      <c r="B50" s="30" t="s">
        <v>167</v>
      </c>
      <c r="C50" s="34">
        <v>110.37321820419953</v>
      </c>
      <c r="D50" s="18">
        <v>6.7</v>
      </c>
      <c r="E50" s="34">
        <v>9.9661858002990318</v>
      </c>
      <c r="F50" s="30" t="s">
        <v>15</v>
      </c>
      <c r="G50" s="30">
        <v>49</v>
      </c>
      <c r="H50" s="31"/>
    </row>
    <row r="51" spans="1:8" x14ac:dyDescent="0.2">
      <c r="A51" s="35" t="s">
        <v>165</v>
      </c>
      <c r="B51" s="30" t="s">
        <v>168</v>
      </c>
      <c r="C51" s="34">
        <v>97.309689044297286</v>
      </c>
      <c r="D51" s="18">
        <v>7</v>
      </c>
      <c r="E51" s="34">
        <v>11.304115867632239</v>
      </c>
      <c r="F51" s="30" t="s">
        <v>15</v>
      </c>
      <c r="G51" s="30">
        <v>50</v>
      </c>
      <c r="H51" s="31"/>
    </row>
    <row r="52" spans="1:8" x14ac:dyDescent="0.2">
      <c r="A52" s="35" t="s">
        <v>165</v>
      </c>
      <c r="B52" s="30" t="s">
        <v>169</v>
      </c>
      <c r="C52" s="34">
        <v>139.78288405616107</v>
      </c>
      <c r="D52" s="18">
        <v>6.9</v>
      </c>
      <c r="E52" s="34">
        <v>7.8693468619380402</v>
      </c>
      <c r="F52" s="30" t="s">
        <v>15</v>
      </c>
      <c r="G52" s="30">
        <v>51</v>
      </c>
      <c r="H52" s="31"/>
    </row>
    <row r="53" spans="1:8" x14ac:dyDescent="0.2">
      <c r="A53" s="35" t="s">
        <v>165</v>
      </c>
      <c r="B53" s="30" t="s">
        <v>170</v>
      </c>
      <c r="C53" s="34">
        <v>90.838135336199599</v>
      </c>
      <c r="D53" s="18">
        <v>7.3</v>
      </c>
      <c r="E53" s="34">
        <v>12.109451563804202</v>
      </c>
      <c r="F53" s="30" t="s">
        <v>15</v>
      </c>
      <c r="G53" s="30">
        <v>52</v>
      </c>
      <c r="H53" s="31"/>
    </row>
    <row r="54" spans="1:8" x14ac:dyDescent="0.2">
      <c r="A54" s="35" t="s">
        <v>165</v>
      </c>
      <c r="B54" s="30" t="s">
        <v>171</v>
      </c>
      <c r="C54" s="34">
        <v>111.83611938700864</v>
      </c>
      <c r="D54" s="18">
        <v>7.5</v>
      </c>
      <c r="E54" s="34">
        <v>9.8358205383848532</v>
      </c>
      <c r="F54" s="30" t="s">
        <v>15</v>
      </c>
      <c r="G54" s="30">
        <v>53</v>
      </c>
      <c r="H54" s="31"/>
    </row>
    <row r="55" spans="1:8" x14ac:dyDescent="0.2">
      <c r="A55" s="33" t="s">
        <v>139</v>
      </c>
      <c r="B55" s="27" t="s">
        <v>59</v>
      </c>
      <c r="C55" s="34">
        <v>55.240006832934682</v>
      </c>
      <c r="D55" s="18">
        <v>7.9</v>
      </c>
      <c r="E55" s="34">
        <f t="shared" si="0"/>
        <v>19.913103981445712</v>
      </c>
      <c r="F55" s="30" t="s">
        <v>15</v>
      </c>
      <c r="G55" s="30">
        <v>54</v>
      </c>
      <c r="H55" s="30"/>
    </row>
    <row r="56" spans="1:8" x14ac:dyDescent="0.2">
      <c r="A56" s="33" t="s">
        <v>139</v>
      </c>
      <c r="B56" s="27" t="s">
        <v>60</v>
      </c>
      <c r="C56" s="34">
        <v>64.135633754697579</v>
      </c>
      <c r="D56" s="18">
        <v>7.5</v>
      </c>
      <c r="E56" s="34">
        <f t="shared" si="0"/>
        <v>17.151151950992158</v>
      </c>
      <c r="F56" s="30" t="s">
        <v>15</v>
      </c>
      <c r="G56" s="30">
        <v>55</v>
      </c>
      <c r="H56" s="30"/>
    </row>
    <row r="57" spans="1:8" x14ac:dyDescent="0.2">
      <c r="A57" s="33" t="s">
        <v>139</v>
      </c>
      <c r="B57" s="27" t="s">
        <v>61</v>
      </c>
      <c r="C57" s="34">
        <v>54.437137000341593</v>
      </c>
      <c r="D57" s="18">
        <v>7.9</v>
      </c>
      <c r="E57" s="34">
        <f t="shared" si="0"/>
        <v>20.206793755393445</v>
      </c>
      <c r="F57" s="30" t="s">
        <v>15</v>
      </c>
      <c r="G57" s="30">
        <v>56</v>
      </c>
      <c r="H57" s="30"/>
    </row>
    <row r="58" spans="1:8" x14ac:dyDescent="0.2">
      <c r="A58" s="33" t="s">
        <v>139</v>
      </c>
      <c r="B58" s="27" t="s">
        <v>62</v>
      </c>
      <c r="C58" s="34">
        <v>63.161940553467666</v>
      </c>
      <c r="D58" s="18">
        <v>7.8</v>
      </c>
      <c r="E58" s="34">
        <f t="shared" si="0"/>
        <v>17.415551048005423</v>
      </c>
      <c r="F58" s="30" t="s">
        <v>15</v>
      </c>
      <c r="G58" s="30">
        <v>57</v>
      </c>
      <c r="H58" s="30"/>
    </row>
    <row r="59" spans="1:8" x14ac:dyDescent="0.2">
      <c r="A59" s="33" t="s">
        <v>139</v>
      </c>
      <c r="B59" s="27" t="s">
        <v>63</v>
      </c>
      <c r="C59" s="34">
        <v>48.83413050905358</v>
      </c>
      <c r="D59" s="18">
        <v>8.1</v>
      </c>
      <c r="E59" s="34">
        <f t="shared" si="0"/>
        <v>22.525229558373443</v>
      </c>
      <c r="F59" s="30" t="s">
        <v>15</v>
      </c>
      <c r="G59" s="30">
        <v>58</v>
      </c>
      <c r="H59" s="30"/>
    </row>
    <row r="60" spans="1:8" x14ac:dyDescent="0.2">
      <c r="A60" s="33" t="s">
        <v>139</v>
      </c>
      <c r="B60" s="27" t="s">
        <v>64</v>
      </c>
      <c r="C60" s="34">
        <v>80.470618380594416</v>
      </c>
      <c r="D60" s="18">
        <v>7.4</v>
      </c>
      <c r="E60" s="34">
        <f t="shared" si="0"/>
        <v>13.669585522475199</v>
      </c>
      <c r="F60" s="30" t="s">
        <v>15</v>
      </c>
      <c r="G60" s="30">
        <v>59</v>
      </c>
      <c r="H60" s="30"/>
    </row>
    <row r="61" spans="1:8" x14ac:dyDescent="0.2">
      <c r="A61" s="33" t="s">
        <v>140</v>
      </c>
      <c r="B61" s="27" t="s">
        <v>65</v>
      </c>
      <c r="C61" s="34">
        <v>101.2640929279125</v>
      </c>
      <c r="D61" s="18">
        <v>7.4</v>
      </c>
      <c r="E61" s="34">
        <f t="shared" si="0"/>
        <v>10.862685560053984</v>
      </c>
      <c r="F61" s="30" t="s">
        <v>15</v>
      </c>
      <c r="G61" s="30">
        <v>60</v>
      </c>
      <c r="H61" s="30"/>
    </row>
    <row r="62" spans="1:8" x14ac:dyDescent="0.2">
      <c r="A62" s="33" t="s">
        <v>140</v>
      </c>
      <c r="B62" s="27" t="s">
        <v>66</v>
      </c>
      <c r="C62" s="34">
        <v>69.841134267167703</v>
      </c>
      <c r="D62" s="18">
        <v>7.7</v>
      </c>
      <c r="E62" s="34">
        <f t="shared" si="0"/>
        <v>15.750030573559995</v>
      </c>
      <c r="F62" s="30" t="s">
        <v>15</v>
      </c>
      <c r="G62" s="30">
        <v>61</v>
      </c>
      <c r="H62" s="30"/>
    </row>
    <row r="63" spans="1:8" x14ac:dyDescent="0.2">
      <c r="A63" s="33" t="s">
        <v>140</v>
      </c>
      <c r="B63" s="27" t="s">
        <v>67</v>
      </c>
      <c r="C63" s="34">
        <v>70.396310215237392</v>
      </c>
      <c r="D63" s="18">
        <v>7.9</v>
      </c>
      <c r="E63" s="34">
        <f t="shared" si="0"/>
        <v>15.625818975976717</v>
      </c>
      <c r="F63" s="30" t="s">
        <v>15</v>
      </c>
      <c r="G63" s="30">
        <v>62</v>
      </c>
      <c r="H63" s="30"/>
    </row>
    <row r="64" spans="1:8" x14ac:dyDescent="0.2">
      <c r="A64" s="33" t="s">
        <v>140</v>
      </c>
      <c r="B64" s="27" t="s">
        <v>68</v>
      </c>
      <c r="C64" s="34">
        <v>75.636317048172145</v>
      </c>
      <c r="D64" s="18">
        <v>7.8</v>
      </c>
      <c r="E64" s="34">
        <f t="shared" si="0"/>
        <v>14.543278188696299</v>
      </c>
      <c r="F64" s="30" t="s">
        <v>15</v>
      </c>
      <c r="G64" s="30">
        <v>63</v>
      </c>
      <c r="H64" s="30"/>
    </row>
    <row r="65" spans="1:8" x14ac:dyDescent="0.2">
      <c r="A65" s="33" t="s">
        <v>140</v>
      </c>
      <c r="B65" s="27" t="s">
        <v>69</v>
      </c>
      <c r="C65" s="34">
        <v>69.636146224803497</v>
      </c>
      <c r="D65" s="18">
        <v>7.6</v>
      </c>
      <c r="E65" s="34">
        <f t="shared" si="0"/>
        <v>15.796393965411518</v>
      </c>
      <c r="F65" s="30" t="s">
        <v>15</v>
      </c>
      <c r="G65" s="30">
        <v>64</v>
      </c>
      <c r="H65" s="30"/>
    </row>
    <row r="66" spans="1:8" x14ac:dyDescent="0.2">
      <c r="A66" s="33" t="s">
        <v>140</v>
      </c>
      <c r="B66" s="27" t="s">
        <v>70</v>
      </c>
      <c r="C66" s="34">
        <v>58.190980526135924</v>
      </c>
      <c r="D66" s="18">
        <v>8.4</v>
      </c>
      <c r="E66" s="34">
        <f t="shared" si="0"/>
        <v>18.903273154263925</v>
      </c>
      <c r="F66" s="30" t="s">
        <v>15</v>
      </c>
      <c r="G66" s="30">
        <v>65</v>
      </c>
      <c r="H66" s="30"/>
    </row>
    <row r="67" spans="1:8" x14ac:dyDescent="0.2">
      <c r="A67" s="33" t="s">
        <v>141</v>
      </c>
      <c r="B67" s="27" t="s">
        <v>71</v>
      </c>
      <c r="C67" s="34">
        <v>73.96651861974712</v>
      </c>
      <c r="D67" s="18">
        <v>7.8</v>
      </c>
      <c r="E67" s="34">
        <f t="shared" si="0"/>
        <v>14.87159353348731</v>
      </c>
      <c r="F67" s="30" t="s">
        <v>15</v>
      </c>
      <c r="G67" s="30">
        <v>66</v>
      </c>
      <c r="H67" s="30"/>
    </row>
    <row r="68" spans="1:8" x14ac:dyDescent="0.2">
      <c r="A68" s="33" t="s">
        <v>141</v>
      </c>
      <c r="B68" s="27" t="s">
        <v>72</v>
      </c>
      <c r="C68" s="34">
        <v>62.444482405192986</v>
      </c>
      <c r="D68" s="18">
        <v>8</v>
      </c>
      <c r="E68" s="34">
        <f t="shared" si="0"/>
        <v>17.615647654219682</v>
      </c>
      <c r="F68" s="30" t="s">
        <v>15</v>
      </c>
      <c r="G68" s="30">
        <v>67</v>
      </c>
      <c r="H68" s="30"/>
    </row>
    <row r="69" spans="1:8" x14ac:dyDescent="0.2">
      <c r="A69" s="33" t="s">
        <v>141</v>
      </c>
      <c r="B69" s="27" t="s">
        <v>73</v>
      </c>
      <c r="C69" s="34">
        <v>76.703963102152329</v>
      </c>
      <c r="D69" s="18">
        <v>8.1999999999999993</v>
      </c>
      <c r="E69" s="34">
        <f t="shared" si="0"/>
        <v>14.340849618618126</v>
      </c>
      <c r="F69" s="30" t="s">
        <v>15</v>
      </c>
      <c r="G69" s="30">
        <v>68</v>
      </c>
      <c r="H69" s="30"/>
    </row>
    <row r="70" spans="1:8" x14ac:dyDescent="0.2">
      <c r="A70" s="33" t="s">
        <v>141</v>
      </c>
      <c r="B70" s="27" t="s">
        <v>74</v>
      </c>
      <c r="C70" s="34">
        <v>98.94943628288344</v>
      </c>
      <c r="D70" s="18">
        <v>7.5</v>
      </c>
      <c r="E70" s="34">
        <f t="shared" si="0"/>
        <v>11.116788951230046</v>
      </c>
      <c r="F70" s="30" t="s">
        <v>15</v>
      </c>
      <c r="G70" s="30">
        <v>69</v>
      </c>
      <c r="H70" s="30"/>
    </row>
    <row r="71" spans="1:8" x14ac:dyDescent="0.2">
      <c r="A71" s="33" t="s">
        <v>141</v>
      </c>
      <c r="B71" s="27" t="s">
        <v>75</v>
      </c>
      <c r="C71" s="34">
        <v>58.489921421250372</v>
      </c>
      <c r="D71" s="18">
        <v>8.1999999999999993</v>
      </c>
      <c r="E71" s="34">
        <f t="shared" si="0"/>
        <v>18.806658878504692</v>
      </c>
      <c r="F71" s="30" t="s">
        <v>15</v>
      </c>
      <c r="G71" s="30">
        <v>70</v>
      </c>
      <c r="H71" s="30"/>
    </row>
    <row r="72" spans="1:8" x14ac:dyDescent="0.2">
      <c r="A72" s="33" t="s">
        <v>141</v>
      </c>
      <c r="B72" s="27" t="s">
        <v>76</v>
      </c>
      <c r="C72" s="34">
        <v>64.707892039630963</v>
      </c>
      <c r="D72" s="18">
        <v>8.3000000000000007</v>
      </c>
      <c r="E72" s="34">
        <f t="shared" si="0"/>
        <v>16.999472016895474</v>
      </c>
      <c r="F72" s="30" t="s">
        <v>15</v>
      </c>
      <c r="G72" s="30">
        <v>71</v>
      </c>
      <c r="H72" s="30"/>
    </row>
    <row r="73" spans="1:8" x14ac:dyDescent="0.2">
      <c r="A73" s="33" t="s">
        <v>142</v>
      </c>
      <c r="B73" s="27" t="s">
        <v>77</v>
      </c>
      <c r="C73" s="34">
        <v>98.957977451315287</v>
      </c>
      <c r="D73" s="18">
        <v>7.7</v>
      </c>
      <c r="E73" s="34">
        <f t="shared" si="0"/>
        <v>11.115829449335411</v>
      </c>
      <c r="F73" s="30" t="s">
        <v>15</v>
      </c>
      <c r="G73" s="30">
        <v>72</v>
      </c>
      <c r="H73" s="30"/>
    </row>
    <row r="74" spans="1:8" x14ac:dyDescent="0.2">
      <c r="A74" s="33" t="s">
        <v>142</v>
      </c>
      <c r="B74" s="27" t="s">
        <v>78</v>
      </c>
      <c r="C74" s="34">
        <v>95.789203963102125</v>
      </c>
      <c r="D74" s="18">
        <v>7.6</v>
      </c>
      <c r="E74" s="34">
        <f t="shared" si="0"/>
        <v>11.483548818546593</v>
      </c>
      <c r="F74" s="30" t="s">
        <v>15</v>
      </c>
      <c r="G74" s="30">
        <v>73</v>
      </c>
      <c r="H74" s="30"/>
    </row>
    <row r="75" spans="1:8" x14ac:dyDescent="0.2">
      <c r="A75" s="33" t="s">
        <v>142</v>
      </c>
      <c r="B75" s="27" t="s">
        <v>79</v>
      </c>
      <c r="C75" s="34">
        <v>66.048855483430074</v>
      </c>
      <c r="D75" s="18">
        <v>8</v>
      </c>
      <c r="E75" s="34">
        <f t="shared" si="0"/>
        <v>16.654338549075405</v>
      </c>
      <c r="F75" s="30" t="s">
        <v>15</v>
      </c>
      <c r="G75" s="30">
        <v>74</v>
      </c>
      <c r="H75" s="30"/>
    </row>
    <row r="76" spans="1:8" x14ac:dyDescent="0.2">
      <c r="A76" s="33" t="s">
        <v>142</v>
      </c>
      <c r="B76" s="27" t="s">
        <v>80</v>
      </c>
      <c r="C76" s="34">
        <v>75.858387427400032</v>
      </c>
      <c r="D76" s="18">
        <v>7.8</v>
      </c>
      <c r="E76" s="34">
        <f t="shared" si="0"/>
        <v>14.500703709958911</v>
      </c>
      <c r="F76" s="30" t="s">
        <v>15</v>
      </c>
      <c r="G76" s="30">
        <v>75</v>
      </c>
      <c r="H76" s="30"/>
    </row>
    <row r="77" spans="1:8" x14ac:dyDescent="0.2">
      <c r="A77" s="33" t="s">
        <v>142</v>
      </c>
      <c r="B77" s="27" t="s">
        <v>81</v>
      </c>
      <c r="C77" s="34">
        <v>29.22787837376146</v>
      </c>
      <c r="D77" s="18">
        <v>8.5</v>
      </c>
      <c r="E77" s="34">
        <f t="shared" si="0"/>
        <v>37.6353009935711</v>
      </c>
      <c r="F77" s="30" t="s">
        <v>15</v>
      </c>
      <c r="G77" s="30">
        <v>76</v>
      </c>
      <c r="H77" s="30"/>
    </row>
    <row r="78" spans="1:8" x14ac:dyDescent="0.2">
      <c r="A78" s="33" t="s">
        <v>142</v>
      </c>
      <c r="B78" s="27" t="s">
        <v>82</v>
      </c>
      <c r="C78" s="34">
        <v>69.935087119917952</v>
      </c>
      <c r="D78" s="18">
        <v>8.5</v>
      </c>
      <c r="E78" s="34">
        <f t="shared" si="0"/>
        <v>15.728871519296543</v>
      </c>
      <c r="F78" s="30" t="s">
        <v>15</v>
      </c>
      <c r="G78" s="30">
        <v>77</v>
      </c>
      <c r="H78" s="30"/>
    </row>
    <row r="79" spans="1:8" x14ac:dyDescent="0.2">
      <c r="A79" s="35" t="s">
        <v>158</v>
      </c>
      <c r="B79" s="30" t="s">
        <v>159</v>
      </c>
      <c r="C79" s="34">
        <v>78.149251601163115</v>
      </c>
      <c r="D79" s="18">
        <v>6.7</v>
      </c>
      <c r="E79" s="34">
        <v>14.075630635772185</v>
      </c>
      <c r="F79" s="30" t="s">
        <v>15</v>
      </c>
      <c r="G79" s="30">
        <v>78</v>
      </c>
      <c r="H79" s="30"/>
    </row>
    <row r="80" spans="1:8" x14ac:dyDescent="0.2">
      <c r="A80" s="35" t="s">
        <v>158</v>
      </c>
      <c r="B80" s="30" t="s">
        <v>160</v>
      </c>
      <c r="C80" s="34">
        <v>42.937041728364136</v>
      </c>
      <c r="D80" s="18">
        <v>8.8000000000000007</v>
      </c>
      <c r="E80" s="34">
        <v>25.618905162563678</v>
      </c>
      <c r="F80" s="30" t="s">
        <v>15</v>
      </c>
      <c r="G80" s="30">
        <v>79</v>
      </c>
      <c r="H80" s="30"/>
    </row>
    <row r="81" spans="1:8" x14ac:dyDescent="0.2">
      <c r="A81" s="35" t="s">
        <v>158</v>
      </c>
      <c r="B81" s="30" t="s">
        <v>161</v>
      </c>
      <c r="C81" s="34">
        <v>78.158171730326572</v>
      </c>
      <c r="D81" s="18">
        <v>7.7</v>
      </c>
      <c r="E81" s="34">
        <v>14.074024195389196</v>
      </c>
      <c r="F81" s="30" t="s">
        <v>15</v>
      </c>
      <c r="G81" s="30">
        <v>80</v>
      </c>
      <c r="H81" s="30"/>
    </row>
    <row r="82" spans="1:8" x14ac:dyDescent="0.2">
      <c r="A82" s="35" t="s">
        <v>158</v>
      </c>
      <c r="B82" s="30" t="s">
        <v>162</v>
      </c>
      <c r="C82" s="34">
        <v>66.169518134622507</v>
      </c>
      <c r="D82" s="18">
        <v>7.4</v>
      </c>
      <c r="E82" s="34">
        <v>16.623968724723667</v>
      </c>
      <c r="F82" s="30" t="s">
        <v>15</v>
      </c>
      <c r="G82" s="30">
        <v>81</v>
      </c>
      <c r="H82" s="30"/>
    </row>
    <row r="83" spans="1:8" x14ac:dyDescent="0.2">
      <c r="A83" s="35" t="s">
        <v>158</v>
      </c>
      <c r="B83" s="30" t="s">
        <v>163</v>
      </c>
      <c r="C83" s="34">
        <v>80.758389381478182</v>
      </c>
      <c r="D83" s="18">
        <v>7.2</v>
      </c>
      <c r="E83" s="34">
        <v>13.620875904346397</v>
      </c>
      <c r="F83" s="30" t="s">
        <v>17</v>
      </c>
      <c r="G83" s="31">
        <v>1</v>
      </c>
      <c r="H83" s="30"/>
    </row>
    <row r="84" spans="1:8" x14ac:dyDescent="0.2">
      <c r="A84" s="35" t="s">
        <v>158</v>
      </c>
      <c r="B84" s="30" t="s">
        <v>164</v>
      </c>
      <c r="C84" s="34">
        <v>101.18102510124341</v>
      </c>
      <c r="D84" s="18">
        <v>7.3</v>
      </c>
      <c r="E84" s="34">
        <v>10.871603632196074</v>
      </c>
      <c r="F84" s="30" t="s">
        <v>17</v>
      </c>
      <c r="G84" s="31">
        <v>2</v>
      </c>
      <c r="H84" s="30"/>
    </row>
    <row r="85" spans="1:8" x14ac:dyDescent="0.2">
      <c r="A85" s="33" t="s">
        <v>143</v>
      </c>
      <c r="B85" s="27" t="s">
        <v>83</v>
      </c>
      <c r="C85" s="34">
        <v>95.934403826443415</v>
      </c>
      <c r="D85" s="18">
        <v>7.6</v>
      </c>
      <c r="E85" s="34">
        <f t="shared" si="0"/>
        <v>11.466168091168097</v>
      </c>
      <c r="F85" s="30" t="s">
        <v>17</v>
      </c>
      <c r="G85" s="31">
        <v>3</v>
      </c>
      <c r="H85" s="30"/>
    </row>
    <row r="86" spans="1:8" x14ac:dyDescent="0.2">
      <c r="A86" s="33" t="s">
        <v>143</v>
      </c>
      <c r="B86" s="27" t="s">
        <v>84</v>
      </c>
      <c r="C86" s="34">
        <v>67.688759822343641</v>
      </c>
      <c r="D86" s="18">
        <v>8.1</v>
      </c>
      <c r="E86" s="34">
        <f t="shared" si="0"/>
        <v>16.250851735015786</v>
      </c>
      <c r="F86" s="30" t="s">
        <v>17</v>
      </c>
      <c r="G86" s="31">
        <v>4</v>
      </c>
      <c r="H86" s="30"/>
    </row>
    <row r="87" spans="1:8" x14ac:dyDescent="0.2">
      <c r="A87" s="33" t="s">
        <v>143</v>
      </c>
      <c r="B87" s="27" t="s">
        <v>85</v>
      </c>
      <c r="C87" s="34">
        <v>81.700546634779585</v>
      </c>
      <c r="D87" s="18">
        <v>8</v>
      </c>
      <c r="E87" s="34">
        <f t="shared" si="0"/>
        <v>13.463802205843926</v>
      </c>
      <c r="F87" s="30" t="s">
        <v>17</v>
      </c>
      <c r="G87" s="31">
        <v>5</v>
      </c>
      <c r="H87" s="30"/>
    </row>
    <row r="88" spans="1:8" x14ac:dyDescent="0.2">
      <c r="A88" s="33" t="s">
        <v>143</v>
      </c>
      <c r="B88" s="27" t="s">
        <v>86</v>
      </c>
      <c r="C88" s="34">
        <v>103.39938503587287</v>
      </c>
      <c r="D88" s="18">
        <v>7.4</v>
      </c>
      <c r="E88" s="34">
        <f t="shared" si="0"/>
        <v>10.638361143234764</v>
      </c>
      <c r="F88" s="30" t="s">
        <v>17</v>
      </c>
      <c r="G88" s="31">
        <v>6</v>
      </c>
      <c r="H88" s="30"/>
    </row>
    <row r="89" spans="1:8" x14ac:dyDescent="0.2">
      <c r="A89" s="33" t="s">
        <v>143</v>
      </c>
      <c r="B89" s="27" t="s">
        <v>87</v>
      </c>
      <c r="C89" s="34">
        <v>67.30440724291077</v>
      </c>
      <c r="D89" s="18">
        <v>8</v>
      </c>
      <c r="E89" s="34">
        <f t="shared" ref="E89:E138" si="1">1100/C89</f>
        <v>16.34365482233504</v>
      </c>
      <c r="F89" s="30" t="s">
        <v>17</v>
      </c>
      <c r="G89" s="31">
        <v>7</v>
      </c>
      <c r="H89" s="30"/>
    </row>
    <row r="90" spans="1:8" x14ac:dyDescent="0.2">
      <c r="A90" s="33" t="s">
        <v>143</v>
      </c>
      <c r="B90" s="27" t="s">
        <v>88</v>
      </c>
      <c r="C90" s="34">
        <v>44.341475913904958</v>
      </c>
      <c r="D90" s="18">
        <v>8.4</v>
      </c>
      <c r="E90" s="34">
        <f t="shared" si="1"/>
        <v>24.807473755176765</v>
      </c>
      <c r="F90" s="30" t="s">
        <v>17</v>
      </c>
      <c r="G90" s="31">
        <v>8</v>
      </c>
      <c r="H90" s="30"/>
    </row>
    <row r="91" spans="1:8" x14ac:dyDescent="0.2">
      <c r="A91" s="33" t="s">
        <v>144</v>
      </c>
      <c r="B91" s="27" t="s">
        <v>89</v>
      </c>
      <c r="C91" s="34">
        <v>62.888623163648731</v>
      </c>
      <c r="D91" s="18">
        <v>7.9</v>
      </c>
      <c r="E91" s="34">
        <f t="shared" si="1"/>
        <v>17.491239983702311</v>
      </c>
      <c r="F91" s="30" t="s">
        <v>17</v>
      </c>
      <c r="G91" s="31">
        <v>9</v>
      </c>
      <c r="H91" s="30"/>
    </row>
    <row r="92" spans="1:8" x14ac:dyDescent="0.2">
      <c r="A92" s="33" t="s">
        <v>144</v>
      </c>
      <c r="B92" s="27" t="s">
        <v>90</v>
      </c>
      <c r="C92" s="34">
        <v>54.872736590365498</v>
      </c>
      <c r="D92" s="18">
        <v>8</v>
      </c>
      <c r="E92" s="34">
        <f t="shared" si="1"/>
        <v>20.046384932679608</v>
      </c>
      <c r="F92" s="30" t="s">
        <v>17</v>
      </c>
      <c r="G92" s="31">
        <v>10</v>
      </c>
      <c r="H92" s="30"/>
    </row>
    <row r="93" spans="1:8" x14ac:dyDescent="0.2">
      <c r="A93" s="33" t="s">
        <v>144</v>
      </c>
      <c r="B93" s="27" t="s">
        <v>91</v>
      </c>
      <c r="C93" s="34">
        <v>55.84642979159544</v>
      </c>
      <c r="D93" s="18">
        <v>8.4</v>
      </c>
      <c r="E93" s="34">
        <f t="shared" si="1"/>
        <v>19.696872371339008</v>
      </c>
      <c r="F93" s="30" t="s">
        <v>17</v>
      </c>
      <c r="G93" s="31">
        <v>11</v>
      </c>
      <c r="H93" s="30"/>
    </row>
    <row r="94" spans="1:8" x14ac:dyDescent="0.2">
      <c r="A94" s="33" t="s">
        <v>144</v>
      </c>
      <c r="B94" s="27" t="s">
        <v>92</v>
      </c>
      <c r="C94" s="34">
        <v>39.003245644004039</v>
      </c>
      <c r="D94" s="18">
        <v>8</v>
      </c>
      <c r="E94" s="34">
        <f t="shared" si="1"/>
        <v>28.202781123398708</v>
      </c>
      <c r="F94" s="30" t="s">
        <v>17</v>
      </c>
      <c r="G94" s="31">
        <v>12</v>
      </c>
      <c r="H94" s="30"/>
    </row>
    <row r="95" spans="1:8" x14ac:dyDescent="0.2">
      <c r="A95" s="33" t="s">
        <v>144</v>
      </c>
      <c r="B95" s="27" t="s">
        <v>93</v>
      </c>
      <c r="C95" s="34">
        <v>59.600273317389757</v>
      </c>
      <c r="D95" s="18">
        <v>8</v>
      </c>
      <c r="E95" s="34">
        <f t="shared" si="1"/>
        <v>18.456291200917189</v>
      </c>
      <c r="F95" s="30" t="s">
        <v>17</v>
      </c>
      <c r="G95" s="31">
        <v>13</v>
      </c>
      <c r="H95" s="30"/>
    </row>
    <row r="96" spans="1:8" x14ac:dyDescent="0.2">
      <c r="A96" s="33" t="s">
        <v>144</v>
      </c>
      <c r="B96" s="27" t="s">
        <v>94</v>
      </c>
      <c r="C96" s="34">
        <v>70.908780321147873</v>
      </c>
      <c r="D96" s="18">
        <v>7.7</v>
      </c>
      <c r="E96" s="34">
        <f t="shared" si="1"/>
        <v>15.512888460611913</v>
      </c>
      <c r="F96" s="30" t="s">
        <v>17</v>
      </c>
      <c r="G96" s="31">
        <v>14</v>
      </c>
      <c r="H96" s="30"/>
    </row>
    <row r="97" spans="1:8" x14ac:dyDescent="0.2">
      <c r="A97" s="33" t="s">
        <v>145</v>
      </c>
      <c r="B97" s="27" t="s">
        <v>95</v>
      </c>
      <c r="C97" s="34">
        <v>48.3643662453023</v>
      </c>
      <c r="D97" s="18">
        <v>8.4</v>
      </c>
      <c r="E97" s="34">
        <f t="shared" si="1"/>
        <v>22.744017660044179</v>
      </c>
      <c r="F97" s="30" t="s">
        <v>17</v>
      </c>
      <c r="G97" s="31">
        <v>15</v>
      </c>
      <c r="H97" s="30"/>
    </row>
    <row r="98" spans="1:8" x14ac:dyDescent="0.2">
      <c r="A98" s="33" t="s">
        <v>145</v>
      </c>
      <c r="B98" s="27" t="s">
        <v>96</v>
      </c>
      <c r="C98" s="34">
        <v>77.805773829859874</v>
      </c>
      <c r="D98" s="18">
        <v>8.1999999999999993</v>
      </c>
      <c r="E98" s="34">
        <f t="shared" si="1"/>
        <v>14.137768263900334</v>
      </c>
      <c r="F98" s="30" t="s">
        <v>17</v>
      </c>
      <c r="G98" s="31">
        <v>16</v>
      </c>
      <c r="H98" s="30"/>
    </row>
    <row r="99" spans="1:8" x14ac:dyDescent="0.2">
      <c r="A99" s="33" t="s">
        <v>145</v>
      </c>
      <c r="B99" s="27" t="s">
        <v>97</v>
      </c>
      <c r="C99" s="34">
        <v>97.061838059446501</v>
      </c>
      <c r="D99" s="18">
        <v>7.1</v>
      </c>
      <c r="E99" s="34">
        <f t="shared" si="1"/>
        <v>11.332981344596977</v>
      </c>
      <c r="F99" s="30" t="s">
        <v>17</v>
      </c>
      <c r="G99" s="31">
        <v>17</v>
      </c>
      <c r="H99" s="30"/>
    </row>
    <row r="100" spans="1:8" x14ac:dyDescent="0.2">
      <c r="A100" s="33" t="s">
        <v>145</v>
      </c>
      <c r="B100" s="27" t="s">
        <v>98</v>
      </c>
      <c r="C100" s="34">
        <v>82.025111035189582</v>
      </c>
      <c r="D100" s="18">
        <v>7.7</v>
      </c>
      <c r="E100" s="34">
        <f t="shared" si="1"/>
        <v>13.410527411881091</v>
      </c>
      <c r="F100" s="30" t="s">
        <v>17</v>
      </c>
      <c r="G100" s="31">
        <v>18</v>
      </c>
      <c r="H100" s="30"/>
    </row>
    <row r="101" spans="1:8" x14ac:dyDescent="0.2">
      <c r="A101" s="33" t="s">
        <v>145</v>
      </c>
      <c r="B101" s="27" t="s">
        <v>99</v>
      </c>
      <c r="C101" s="34">
        <v>66.586949094636083</v>
      </c>
      <c r="D101" s="18">
        <v>7.8</v>
      </c>
      <c r="E101" s="34">
        <f t="shared" si="1"/>
        <v>16.519753719856354</v>
      </c>
      <c r="F101" s="30" t="s">
        <v>17</v>
      </c>
      <c r="G101" s="31">
        <v>19</v>
      </c>
      <c r="H101" s="30"/>
    </row>
    <row r="102" spans="1:8" x14ac:dyDescent="0.2">
      <c r="A102" s="33" t="s">
        <v>145</v>
      </c>
      <c r="B102" s="27" t="s">
        <v>100</v>
      </c>
      <c r="C102" s="34">
        <v>92.218995558592354</v>
      </c>
      <c r="D102" s="18">
        <v>7.6</v>
      </c>
      <c r="E102" s="34">
        <f t="shared" si="1"/>
        <v>11.928128183754755</v>
      </c>
      <c r="F102" s="30" t="s">
        <v>17</v>
      </c>
      <c r="G102" s="31">
        <v>20</v>
      </c>
      <c r="H102" s="30"/>
    </row>
    <row r="103" spans="1:8" x14ac:dyDescent="0.2">
      <c r="A103" s="33" t="s">
        <v>146</v>
      </c>
      <c r="B103" s="27" t="s">
        <v>101</v>
      </c>
      <c r="C103" s="34">
        <v>63.776904680560243</v>
      </c>
      <c r="D103" s="18">
        <v>7.6</v>
      </c>
      <c r="E103" s="34">
        <f t="shared" si="1"/>
        <v>17.247622873978855</v>
      </c>
      <c r="F103" s="30" t="s">
        <v>17</v>
      </c>
      <c r="G103" s="31">
        <v>21</v>
      </c>
      <c r="H103" s="30"/>
    </row>
    <row r="104" spans="1:8" x14ac:dyDescent="0.2">
      <c r="A104" s="33" t="s">
        <v>146</v>
      </c>
      <c r="B104" s="27" t="s">
        <v>102</v>
      </c>
      <c r="C104" s="34">
        <v>66.697984284250026</v>
      </c>
      <c r="D104" s="18">
        <v>8.5</v>
      </c>
      <c r="E104" s="34">
        <f t="shared" si="1"/>
        <v>16.492252529133065</v>
      </c>
      <c r="F104" s="30" t="s">
        <v>17</v>
      </c>
      <c r="G104" s="31">
        <v>22</v>
      </c>
      <c r="H104" s="30"/>
    </row>
    <row r="105" spans="1:8" x14ac:dyDescent="0.2">
      <c r="A105" s="33" t="s">
        <v>146</v>
      </c>
      <c r="B105" s="27" t="s">
        <v>103</v>
      </c>
      <c r="C105" s="34">
        <v>70.712333447215528</v>
      </c>
      <c r="D105" s="18">
        <v>7.4</v>
      </c>
      <c r="E105" s="34">
        <f t="shared" si="1"/>
        <v>15.555985022345705</v>
      </c>
      <c r="F105" s="30" t="s">
        <v>17</v>
      </c>
      <c r="G105" s="31">
        <v>23</v>
      </c>
      <c r="H105" s="30"/>
    </row>
    <row r="106" spans="1:8" x14ac:dyDescent="0.2">
      <c r="A106" s="33" t="s">
        <v>146</v>
      </c>
      <c r="B106" s="27" t="s">
        <v>104</v>
      </c>
      <c r="C106" s="34">
        <v>102.9979501195763</v>
      </c>
      <c r="D106" s="18">
        <v>7.3</v>
      </c>
      <c r="E106" s="34">
        <f t="shared" si="1"/>
        <v>10.679824197694673</v>
      </c>
      <c r="F106" s="30" t="s">
        <v>17</v>
      </c>
      <c r="G106" s="31">
        <v>24</v>
      </c>
      <c r="H106" s="30"/>
    </row>
    <row r="107" spans="1:8" x14ac:dyDescent="0.2">
      <c r="A107" s="33" t="s">
        <v>146</v>
      </c>
      <c r="B107" s="27" t="s">
        <v>105</v>
      </c>
      <c r="C107" s="34">
        <v>89.208233686368246</v>
      </c>
      <c r="D107" s="18">
        <v>7.5</v>
      </c>
      <c r="E107" s="34">
        <f t="shared" si="1"/>
        <v>12.330700368615068</v>
      </c>
      <c r="F107" s="30" t="s">
        <v>17</v>
      </c>
      <c r="G107" s="31">
        <v>25</v>
      </c>
      <c r="H107" s="30"/>
    </row>
    <row r="108" spans="1:8" x14ac:dyDescent="0.2">
      <c r="A108" s="33" t="s">
        <v>146</v>
      </c>
      <c r="B108" s="27" t="s">
        <v>106</v>
      </c>
      <c r="C108" s="34">
        <v>98.325930987359015</v>
      </c>
      <c r="D108" s="18">
        <v>7.4</v>
      </c>
      <c r="E108" s="34">
        <f t="shared" si="1"/>
        <v>11.1872828353023</v>
      </c>
      <c r="F108" s="30" t="s">
        <v>17</v>
      </c>
      <c r="G108" s="31">
        <v>26</v>
      </c>
      <c r="H108" s="30"/>
    </row>
    <row r="109" spans="1:8" x14ac:dyDescent="0.2">
      <c r="A109" s="35" t="s">
        <v>172</v>
      </c>
      <c r="B109" s="30" t="s">
        <v>173</v>
      </c>
      <c r="C109" s="34">
        <v>64.019767006226161</v>
      </c>
      <c r="D109" s="18">
        <v>7.9</v>
      </c>
      <c r="E109" s="34">
        <v>17.182193116901235</v>
      </c>
      <c r="F109" s="30" t="s">
        <v>17</v>
      </c>
      <c r="G109" s="31">
        <v>27</v>
      </c>
      <c r="H109" s="30"/>
    </row>
    <row r="110" spans="1:8" x14ac:dyDescent="0.2">
      <c r="A110" s="35" t="s">
        <v>172</v>
      </c>
      <c r="B110" s="30" t="s">
        <v>174</v>
      </c>
      <c r="C110" s="34">
        <v>75.330490785506484</v>
      </c>
      <c r="D110" s="18">
        <v>7.3</v>
      </c>
      <c r="E110" s="34">
        <v>14.602320899940811</v>
      </c>
      <c r="F110" s="30" t="s">
        <v>17</v>
      </c>
      <c r="G110" s="31">
        <v>28</v>
      </c>
      <c r="H110" s="30"/>
    </row>
    <row r="111" spans="1:8" x14ac:dyDescent="0.2">
      <c r="A111" s="35" t="s">
        <v>172</v>
      </c>
      <c r="B111" s="30" t="s">
        <v>175</v>
      </c>
      <c r="C111" s="34">
        <v>86.913278504272682</v>
      </c>
      <c r="D111" s="18">
        <v>8</v>
      </c>
      <c r="E111" s="34">
        <v>12.656293939549451</v>
      </c>
      <c r="F111" s="30" t="s">
        <v>17</v>
      </c>
      <c r="G111" s="31">
        <v>29</v>
      </c>
      <c r="H111" s="30"/>
    </row>
    <row r="112" spans="1:8" x14ac:dyDescent="0.2">
      <c r="A112" s="35" t="s">
        <v>172</v>
      </c>
      <c r="B112" s="30" t="s">
        <v>176</v>
      </c>
      <c r="C112" s="34">
        <v>83.817993684548469</v>
      </c>
      <c r="D112" s="18">
        <v>7.7</v>
      </c>
      <c r="E112" s="34">
        <v>13.123673708295655</v>
      </c>
      <c r="F112" s="30" t="s">
        <v>17</v>
      </c>
      <c r="G112" s="31">
        <v>30</v>
      </c>
      <c r="H112" s="30"/>
    </row>
    <row r="113" spans="1:8" x14ac:dyDescent="0.2">
      <c r="A113" s="35" t="s">
        <v>172</v>
      </c>
      <c r="B113" s="30" t="s">
        <v>177</v>
      </c>
      <c r="C113" s="34">
        <v>69.09532050024076</v>
      </c>
      <c r="D113" s="18">
        <v>7.8</v>
      </c>
      <c r="E113" s="34">
        <v>15.920036147689149</v>
      </c>
      <c r="F113" s="30" t="s">
        <v>17</v>
      </c>
      <c r="G113" s="31">
        <v>31</v>
      </c>
      <c r="H113" s="30"/>
    </row>
    <row r="114" spans="1:8" x14ac:dyDescent="0.2">
      <c r="A114" s="35" t="s">
        <v>172</v>
      </c>
      <c r="B114" s="30" t="s">
        <v>178</v>
      </c>
      <c r="C114" s="34">
        <v>80.865430931439803</v>
      </c>
      <c r="D114" s="18">
        <v>7.8</v>
      </c>
      <c r="E114" s="34">
        <v>13.602845954442682</v>
      </c>
      <c r="F114" s="30" t="s">
        <v>17</v>
      </c>
      <c r="G114" s="31">
        <v>32</v>
      </c>
      <c r="H114" s="30"/>
    </row>
    <row r="115" spans="1:8" x14ac:dyDescent="0.2">
      <c r="A115" s="33" t="s">
        <v>147</v>
      </c>
      <c r="B115" s="27" t="s">
        <v>107</v>
      </c>
      <c r="C115" s="34">
        <v>35.475743081653505</v>
      </c>
      <c r="D115" s="18">
        <v>7.6</v>
      </c>
      <c r="E115" s="34">
        <f t="shared" si="1"/>
        <v>31.007102443722218</v>
      </c>
      <c r="F115" s="30" t="s">
        <v>17</v>
      </c>
      <c r="G115" s="31">
        <v>33</v>
      </c>
      <c r="H115" s="30"/>
    </row>
    <row r="116" spans="1:8" x14ac:dyDescent="0.2">
      <c r="A116" s="33" t="s">
        <v>147</v>
      </c>
      <c r="B116" s="27" t="s">
        <v>108</v>
      </c>
      <c r="C116" s="34">
        <v>85.484284250085352</v>
      </c>
      <c r="D116" s="18">
        <v>8</v>
      </c>
      <c r="E116" s="34">
        <f t="shared" si="1"/>
        <v>12.867862317030532</v>
      </c>
      <c r="F116" s="30" t="s">
        <v>17</v>
      </c>
      <c r="G116" s="31">
        <v>34</v>
      </c>
      <c r="H116" s="30"/>
    </row>
    <row r="117" spans="1:8" x14ac:dyDescent="0.2">
      <c r="A117" s="33" t="s">
        <v>147</v>
      </c>
      <c r="B117" s="27" t="s">
        <v>109</v>
      </c>
      <c r="C117" s="34">
        <v>113.27724632729753</v>
      </c>
      <c r="D117" s="18">
        <v>7.5</v>
      </c>
      <c r="E117" s="34">
        <f t="shared" si="1"/>
        <v>9.7106880301602292</v>
      </c>
      <c r="F117" s="30" t="s">
        <v>17</v>
      </c>
      <c r="G117" s="31">
        <v>35</v>
      </c>
      <c r="H117" s="30"/>
    </row>
    <row r="118" spans="1:8" x14ac:dyDescent="0.2">
      <c r="A118" s="33" t="s">
        <v>147</v>
      </c>
      <c r="B118" s="27" t="s">
        <v>110</v>
      </c>
      <c r="C118" s="34">
        <v>108.09275708916975</v>
      </c>
      <c r="D118" s="18">
        <v>7.1</v>
      </c>
      <c r="E118" s="34">
        <f t="shared" si="1"/>
        <v>10.176445023902655</v>
      </c>
      <c r="F118" s="30" t="s">
        <v>17</v>
      </c>
      <c r="G118" s="31">
        <v>36</v>
      </c>
      <c r="H118" s="30"/>
    </row>
    <row r="119" spans="1:8" x14ac:dyDescent="0.2">
      <c r="A119" s="33" t="s">
        <v>147</v>
      </c>
      <c r="B119" s="27" t="s">
        <v>111</v>
      </c>
      <c r="C119" s="34">
        <v>82.81089853091899</v>
      </c>
      <c r="D119" s="18">
        <v>7.9</v>
      </c>
      <c r="E119" s="34">
        <f t="shared" si="1"/>
        <v>13.283275746480331</v>
      </c>
      <c r="F119" s="30" t="s">
        <v>17</v>
      </c>
      <c r="G119" s="31">
        <v>37</v>
      </c>
      <c r="H119" s="30"/>
    </row>
    <row r="120" spans="1:8" x14ac:dyDescent="0.2">
      <c r="A120" s="33" t="s">
        <v>147</v>
      </c>
      <c r="B120" s="27" t="s">
        <v>112</v>
      </c>
      <c r="C120" s="34">
        <v>58.021294413207315</v>
      </c>
      <c r="D120" s="18">
        <v>7.8</v>
      </c>
      <c r="E120" s="34">
        <f t="shared" si="1"/>
        <v>18.958556701030929</v>
      </c>
      <c r="F120" s="30" t="s">
        <v>17</v>
      </c>
      <c r="G120" s="31">
        <v>38</v>
      </c>
      <c r="H120" s="30"/>
    </row>
    <row r="121" spans="1:8" x14ac:dyDescent="0.2">
      <c r="A121" s="33" t="s">
        <v>148</v>
      </c>
      <c r="B121" s="27" t="s">
        <v>113</v>
      </c>
      <c r="C121" s="34">
        <v>43.310888178695336</v>
      </c>
      <c r="D121" s="18">
        <v>8.5</v>
      </c>
      <c r="E121" s="34">
        <f t="shared" si="1"/>
        <v>25.397770543553317</v>
      </c>
      <c r="F121" s="30" t="s">
        <v>17</v>
      </c>
      <c r="G121" s="31">
        <v>39</v>
      </c>
      <c r="H121" s="30"/>
    </row>
    <row r="122" spans="1:8" x14ac:dyDescent="0.2">
      <c r="A122" s="33" t="s">
        <v>148</v>
      </c>
      <c r="B122" s="27" t="s">
        <v>114</v>
      </c>
      <c r="C122" s="34">
        <v>44.806282364602737</v>
      </c>
      <c r="D122" s="18">
        <v>8.6999999999999993</v>
      </c>
      <c r="E122" s="34">
        <f t="shared" si="1"/>
        <v>24.550128730809575</v>
      </c>
      <c r="F122" s="30" t="s">
        <v>17</v>
      </c>
      <c r="G122" s="31">
        <v>40</v>
      </c>
      <c r="H122" s="30"/>
    </row>
    <row r="123" spans="1:8" x14ac:dyDescent="0.2">
      <c r="A123" s="33" t="s">
        <v>148</v>
      </c>
      <c r="B123" s="27" t="s">
        <v>115</v>
      </c>
      <c r="C123" s="34">
        <v>39.149419787055862</v>
      </c>
      <c r="D123" s="18">
        <v>8.1</v>
      </c>
      <c r="E123" s="34">
        <f t="shared" si="1"/>
        <v>28.097478991596642</v>
      </c>
      <c r="F123" s="30" t="s">
        <v>17</v>
      </c>
      <c r="G123" s="31">
        <v>41</v>
      </c>
      <c r="H123" s="30"/>
    </row>
    <row r="124" spans="1:8" x14ac:dyDescent="0.2">
      <c r="A124" s="33" t="s">
        <v>148</v>
      </c>
      <c r="B124" s="27" t="s">
        <v>116</v>
      </c>
      <c r="C124" s="34">
        <v>43.943226291593319</v>
      </c>
      <c r="D124" s="18">
        <v>7.5</v>
      </c>
      <c r="E124" s="34">
        <f t="shared" si="1"/>
        <v>25.032299465240644</v>
      </c>
      <c r="F124" s="30" t="s">
        <v>17</v>
      </c>
      <c r="G124" s="31">
        <v>42</v>
      </c>
      <c r="H124" s="30"/>
    </row>
    <row r="125" spans="1:8" x14ac:dyDescent="0.2">
      <c r="A125" s="33" t="s">
        <v>148</v>
      </c>
      <c r="B125" s="27" t="s">
        <v>117</v>
      </c>
      <c r="C125" s="34">
        <v>45.498436244937025</v>
      </c>
      <c r="D125" s="18">
        <v>8.4</v>
      </c>
      <c r="E125" s="34">
        <f t="shared" si="1"/>
        <v>24.176655084984503</v>
      </c>
      <c r="F125" s="30" t="s">
        <v>17</v>
      </c>
      <c r="G125" s="31">
        <v>43</v>
      </c>
      <c r="H125" s="30"/>
    </row>
    <row r="126" spans="1:8" x14ac:dyDescent="0.2">
      <c r="A126" s="33" t="s">
        <v>148</v>
      </c>
      <c r="B126" s="27" t="s">
        <v>118</v>
      </c>
      <c r="C126" s="34">
        <v>48.147420231401561</v>
      </c>
      <c r="D126" s="18">
        <v>7.8</v>
      </c>
      <c r="E126" s="34">
        <f t="shared" si="1"/>
        <v>22.846499245718345</v>
      </c>
      <c r="F126" s="30" t="s">
        <v>17</v>
      </c>
      <c r="G126" s="31">
        <v>44</v>
      </c>
      <c r="H126" s="30"/>
    </row>
    <row r="127" spans="1:8" x14ac:dyDescent="0.2">
      <c r="A127" s="33" t="s">
        <v>149</v>
      </c>
      <c r="B127" s="27" t="s">
        <v>119</v>
      </c>
      <c r="C127" s="34">
        <v>99.285628834617953</v>
      </c>
      <c r="D127" s="18">
        <v>7.6</v>
      </c>
      <c r="E127" s="34">
        <f t="shared" si="1"/>
        <v>11.079146226009122</v>
      </c>
      <c r="F127" s="30" t="s">
        <v>17</v>
      </c>
      <c r="G127" s="31">
        <v>45</v>
      </c>
      <c r="H127" s="30"/>
    </row>
    <row r="128" spans="1:8" x14ac:dyDescent="0.2">
      <c r="A128" s="33" t="s">
        <v>149</v>
      </c>
      <c r="B128" s="27" t="s">
        <v>120</v>
      </c>
      <c r="C128" s="34">
        <v>52.941226735939019</v>
      </c>
      <c r="D128" s="18">
        <v>9.1999999999999993</v>
      </c>
      <c r="E128" s="34">
        <f t="shared" si="1"/>
        <v>20.777758050197725</v>
      </c>
      <c r="F128" s="30" t="s">
        <v>17</v>
      </c>
      <c r="G128" s="31">
        <v>46</v>
      </c>
      <c r="H128" s="30"/>
    </row>
    <row r="129" spans="1:8" x14ac:dyDescent="0.2">
      <c r="A129" s="33" t="s">
        <v>149</v>
      </c>
      <c r="B129" s="27" t="s">
        <v>121</v>
      </c>
      <c r="C129" s="34">
        <v>69.967357681199047</v>
      </c>
      <c r="D129" s="18">
        <v>8.5</v>
      </c>
      <c r="E129" s="34">
        <f t="shared" si="1"/>
        <v>15.72161700048852</v>
      </c>
      <c r="F129" s="30" t="s">
        <v>17</v>
      </c>
      <c r="G129" s="31">
        <v>47</v>
      </c>
      <c r="H129" s="30"/>
    </row>
    <row r="130" spans="1:8" x14ac:dyDescent="0.2">
      <c r="A130" s="33" t="s">
        <v>149</v>
      </c>
      <c r="B130" s="27" t="s">
        <v>122</v>
      </c>
      <c r="C130" s="34">
        <v>61.259890964401073</v>
      </c>
      <c r="D130" s="18">
        <v>8.3000000000000007</v>
      </c>
      <c r="E130" s="34">
        <f t="shared" si="1"/>
        <v>17.956284000557957</v>
      </c>
      <c r="F130" s="30" t="s">
        <v>17</v>
      </c>
      <c r="G130" s="31">
        <v>48</v>
      </c>
      <c r="H130" s="30"/>
    </row>
    <row r="131" spans="1:8" x14ac:dyDescent="0.2">
      <c r="A131" s="33" t="s">
        <v>149</v>
      </c>
      <c r="B131" s="27" t="s">
        <v>123</v>
      </c>
      <c r="C131" s="34">
        <v>105.52355886726028</v>
      </c>
      <c r="D131" s="18">
        <v>8</v>
      </c>
      <c r="E131" s="34">
        <f t="shared" si="1"/>
        <v>10.424212486841039</v>
      </c>
      <c r="F131" s="30" t="s">
        <v>17</v>
      </c>
      <c r="G131" s="31">
        <v>49</v>
      </c>
      <c r="H131" s="30"/>
    </row>
    <row r="132" spans="1:8" x14ac:dyDescent="0.2">
      <c r="A132" s="33" t="s">
        <v>149</v>
      </c>
      <c r="B132" s="27" t="s">
        <v>124</v>
      </c>
      <c r="C132" s="34">
        <v>82.404764753131772</v>
      </c>
      <c r="D132" s="18">
        <v>8.1</v>
      </c>
      <c r="E132" s="34">
        <f t="shared" si="1"/>
        <v>13.348742676414167</v>
      </c>
      <c r="F132" s="30" t="s">
        <v>17</v>
      </c>
      <c r="G132" s="31">
        <v>50</v>
      </c>
      <c r="H132" s="30"/>
    </row>
    <row r="133" spans="1:8" x14ac:dyDescent="0.2">
      <c r="A133" s="33" t="s">
        <v>150</v>
      </c>
      <c r="B133" s="27" t="s">
        <v>125</v>
      </c>
      <c r="C133" s="34">
        <v>66.258780100148684</v>
      </c>
      <c r="D133" s="18">
        <v>8.1999999999999993</v>
      </c>
      <c r="E133" s="34">
        <f t="shared" si="1"/>
        <v>16.601573381480527</v>
      </c>
      <c r="F133" s="30" t="s">
        <v>17</v>
      </c>
      <c r="G133" s="31">
        <v>51</v>
      </c>
      <c r="H133" s="30"/>
    </row>
    <row r="134" spans="1:8" x14ac:dyDescent="0.2">
      <c r="A134" s="33" t="s">
        <v>150</v>
      </c>
      <c r="B134" s="27" t="s">
        <v>126</v>
      </c>
      <c r="C134" s="34">
        <v>45.353169381163163</v>
      </c>
      <c r="D134" s="18">
        <v>8.6999999999999993</v>
      </c>
      <c r="E134" s="34">
        <f t="shared" si="1"/>
        <v>24.254093264248702</v>
      </c>
      <c r="F134" s="30" t="s">
        <v>17</v>
      </c>
      <c r="G134" s="31">
        <v>52</v>
      </c>
      <c r="H134" s="30"/>
    </row>
    <row r="135" spans="1:8" x14ac:dyDescent="0.2">
      <c r="A135" s="33" t="s">
        <v>150</v>
      </c>
      <c r="B135" s="27" t="s">
        <v>127</v>
      </c>
      <c r="C135" s="34">
        <v>62.379300326423191</v>
      </c>
      <c r="D135" s="18">
        <v>8</v>
      </c>
      <c r="E135" s="34">
        <f t="shared" si="1"/>
        <v>17.634054794520548</v>
      </c>
      <c r="F135" s="30" t="s">
        <v>17</v>
      </c>
      <c r="G135" s="31">
        <v>53</v>
      </c>
      <c r="H135" s="30"/>
    </row>
    <row r="136" spans="1:8" x14ac:dyDescent="0.2">
      <c r="A136" s="26" t="s">
        <v>150</v>
      </c>
      <c r="B136" s="27" t="s">
        <v>128</v>
      </c>
      <c r="C136" s="16">
        <v>61.755507323158952</v>
      </c>
      <c r="D136" s="15">
        <v>8.4</v>
      </c>
      <c r="E136" s="16">
        <f t="shared" si="1"/>
        <v>17.812176560121767</v>
      </c>
      <c r="F136" s="14" t="s">
        <v>17</v>
      </c>
      <c r="G136" s="31">
        <v>54</v>
      </c>
    </row>
    <row r="137" spans="1:8" x14ac:dyDescent="0.2">
      <c r="A137" s="26" t="s">
        <v>150</v>
      </c>
      <c r="B137" s="27" t="s">
        <v>129</v>
      </c>
      <c r="C137" s="16">
        <v>73.82120212602328</v>
      </c>
      <c r="D137" s="15">
        <v>8</v>
      </c>
      <c r="E137" s="16">
        <f t="shared" si="1"/>
        <v>14.900868156036578</v>
      </c>
      <c r="F137" s="14" t="s">
        <v>17</v>
      </c>
      <c r="G137" s="31">
        <v>55</v>
      </c>
    </row>
    <row r="138" spans="1:8" x14ac:dyDescent="0.2">
      <c r="A138" s="26" t="s">
        <v>150</v>
      </c>
      <c r="B138" s="27" t="s">
        <v>130</v>
      </c>
      <c r="C138" s="16">
        <v>81.789516859501305</v>
      </c>
      <c r="D138" s="15">
        <v>8.3000000000000007</v>
      </c>
      <c r="E138" s="16">
        <f t="shared" si="1"/>
        <v>13.44915634957948</v>
      </c>
      <c r="F138" s="14" t="s">
        <v>17</v>
      </c>
      <c r="G138" s="31">
        <v>56</v>
      </c>
    </row>
  </sheetData>
  <phoneticPr fontId="1" type="noConversion"/>
  <printOptions headings="1"/>
  <pageMargins left="0.7" right="0.7" top="0.75" bottom="0.75" header="0.3" footer="0.3"/>
  <pageSetup scale="45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workbookViewId="0">
      <selection activeCell="C19" sqref="C19"/>
    </sheetView>
  </sheetViews>
  <sheetFormatPr baseColWidth="10" defaultColWidth="11" defaultRowHeight="16" x14ac:dyDescent="0.2"/>
  <cols>
    <col min="1" max="1" width="33.1640625" customWidth="1"/>
    <col min="2" max="2" width="16.6640625" style="1" bestFit="1" customWidth="1"/>
    <col min="3" max="3" width="26.83203125" style="1" bestFit="1" customWidth="1"/>
    <col min="4" max="4" width="39" style="1" bestFit="1" customWidth="1"/>
    <col min="5" max="5" width="36" style="1" customWidth="1"/>
    <col min="6" max="6" width="39.1640625" customWidth="1"/>
    <col min="7" max="7" width="26.33203125" customWidth="1"/>
    <col min="8" max="8" width="23" customWidth="1"/>
  </cols>
  <sheetData>
    <row r="1" spans="1:9" ht="64" x14ac:dyDescent="0.2">
      <c r="A1" s="4" t="s">
        <v>1</v>
      </c>
      <c r="B1" s="5" t="s">
        <v>8</v>
      </c>
      <c r="C1" s="7"/>
      <c r="D1" s="7"/>
      <c r="E1" s="7"/>
      <c r="F1" s="8"/>
      <c r="G1" s="8"/>
      <c r="H1" s="2"/>
      <c r="I1" s="2"/>
    </row>
    <row r="2" spans="1:9" x14ac:dyDescent="0.2">
      <c r="A2">
        <v>8.6300000000000008</v>
      </c>
      <c r="B2" s="1">
        <v>5</v>
      </c>
      <c r="C2" s="7"/>
      <c r="D2" s="7"/>
      <c r="E2" s="7"/>
      <c r="F2" s="8"/>
      <c r="G2" s="8"/>
    </row>
    <row r="3" spans="1:9" x14ac:dyDescent="0.2">
      <c r="A3">
        <v>9.56</v>
      </c>
      <c r="B3" s="1">
        <f t="shared" ref="B3:B9" si="0">$A$2*$B$2/A3</f>
        <v>4.5135983263598334</v>
      </c>
      <c r="C3" s="7"/>
      <c r="D3" s="7"/>
      <c r="E3" s="7"/>
      <c r="F3" s="8"/>
      <c r="G3" s="8"/>
    </row>
    <row r="4" spans="1:9" x14ac:dyDescent="0.2">
      <c r="A4">
        <v>8.84</v>
      </c>
      <c r="B4" s="1">
        <f t="shared" si="0"/>
        <v>4.881221719457014</v>
      </c>
      <c r="C4" s="7"/>
      <c r="D4" s="7"/>
      <c r="E4" s="7"/>
      <c r="F4" s="8"/>
      <c r="G4" s="8"/>
    </row>
    <row r="5" spans="1:9" x14ac:dyDescent="0.2">
      <c r="A5">
        <v>8.8800000000000008</v>
      </c>
      <c r="B5" s="1">
        <f t="shared" si="0"/>
        <v>4.8592342342342345</v>
      </c>
    </row>
    <row r="6" spans="1:9" s="2" customFormat="1" x14ac:dyDescent="0.2">
      <c r="A6" s="2">
        <v>9.2899999999999991</v>
      </c>
      <c r="B6" s="1">
        <f t="shared" si="0"/>
        <v>4.644779332615717</v>
      </c>
      <c r="C6" s="3"/>
      <c r="D6" s="3"/>
      <c r="E6" s="3"/>
    </row>
    <row r="7" spans="1:9" s="2" customFormat="1" x14ac:dyDescent="0.2">
      <c r="A7" s="2">
        <v>9.06</v>
      </c>
      <c r="B7" s="1">
        <f t="shared" si="0"/>
        <v>4.7626931567328921</v>
      </c>
      <c r="C7" s="3"/>
      <c r="D7" s="3"/>
      <c r="E7" s="3"/>
    </row>
    <row r="8" spans="1:9" s="2" customFormat="1" x14ac:dyDescent="0.2">
      <c r="A8" s="2">
        <v>9.25</v>
      </c>
      <c r="B8" s="1">
        <f t="shared" si="0"/>
        <v>4.6648648648648656</v>
      </c>
      <c r="C8" s="3"/>
      <c r="D8" s="3"/>
      <c r="E8" s="3"/>
    </row>
    <row r="9" spans="1:9" s="2" customFormat="1" x14ac:dyDescent="0.2">
      <c r="A9" s="2">
        <v>8.35</v>
      </c>
      <c r="B9" s="1">
        <f t="shared" si="0"/>
        <v>5.1676646706586835</v>
      </c>
      <c r="C9" s="3"/>
      <c r="D9" s="3"/>
      <c r="E9" s="3"/>
    </row>
    <row r="10" spans="1:9" s="2" customFormat="1" x14ac:dyDescent="0.2">
      <c r="B10" s="1"/>
      <c r="C10" s="3"/>
      <c r="D10" s="3"/>
      <c r="E10" s="3"/>
    </row>
    <row r="11" spans="1:9" s="2" customFormat="1" x14ac:dyDescent="0.2">
      <c r="B11" s="1"/>
      <c r="C11" s="3"/>
      <c r="D11" s="3"/>
      <c r="E11" s="3"/>
    </row>
    <row r="12" spans="1:9" s="2" customFormat="1" x14ac:dyDescent="0.2">
      <c r="B12" s="1"/>
      <c r="C12" s="3"/>
      <c r="D12" s="3"/>
      <c r="E12" s="3"/>
    </row>
    <row r="13" spans="1:9" s="2" customFormat="1" x14ac:dyDescent="0.2">
      <c r="B13" s="1"/>
      <c r="C13" s="3"/>
      <c r="D13" s="3"/>
      <c r="E13" s="3"/>
    </row>
    <row r="14" spans="1:9" s="2" customFormat="1" x14ac:dyDescent="0.2">
      <c r="B14" s="1"/>
      <c r="C14" s="3"/>
      <c r="D14" s="3"/>
      <c r="E14" s="3"/>
    </row>
    <row r="15" spans="1:9" s="2" customFormat="1" x14ac:dyDescent="0.2">
      <c r="B15" s="1"/>
      <c r="C15" s="3"/>
      <c r="D15" s="3"/>
      <c r="E15" s="3"/>
    </row>
    <row r="16" spans="1:9" s="2" customFormat="1" x14ac:dyDescent="0.2">
      <c r="B16" s="1"/>
      <c r="C16" s="3"/>
      <c r="D16" s="3"/>
      <c r="E16" s="3"/>
    </row>
    <row r="17" spans="2:8" s="2" customFormat="1" x14ac:dyDescent="0.2">
      <c r="B17" s="1"/>
      <c r="C17" s="3"/>
      <c r="D17" s="13" t="s">
        <v>2</v>
      </c>
      <c r="E17" s="3"/>
    </row>
    <row r="18" spans="2:8" s="2" customFormat="1" x14ac:dyDescent="0.2">
      <c r="B18" s="1"/>
      <c r="C18" s="3"/>
      <c r="D18" s="13"/>
      <c r="E18" s="3"/>
    </row>
    <row r="19" spans="2:8" s="2" customFormat="1" x14ac:dyDescent="0.2">
      <c r="B19" s="1"/>
      <c r="C19" s="3"/>
      <c r="D19" s="13"/>
      <c r="E19" s="3"/>
    </row>
    <row r="23" spans="2:8" x14ac:dyDescent="0.2">
      <c r="F23" t="s">
        <v>0</v>
      </c>
    </row>
    <row r="24" spans="2:8" x14ac:dyDescent="0.2">
      <c r="B24" s="11" t="s">
        <v>3</v>
      </c>
      <c r="C24" s="12" t="s">
        <v>9</v>
      </c>
      <c r="D24" s="12" t="s">
        <v>10</v>
      </c>
      <c r="E24" s="11" t="s">
        <v>7</v>
      </c>
      <c r="F24" s="11" t="s">
        <v>4</v>
      </c>
      <c r="G24" s="11" t="s">
        <v>5</v>
      </c>
      <c r="H24" s="11" t="s">
        <v>6</v>
      </c>
    </row>
    <row r="25" spans="2:8" x14ac:dyDescent="0.2">
      <c r="B25" s="6">
        <f>SUM(B2:B13)</f>
        <v>38.494056304923234</v>
      </c>
      <c r="C25" s="6">
        <f>SUMPRODUCT(A2:A13,B2:B13)/SUM(B2:B13)</f>
        <v>8.9676182022898523</v>
      </c>
      <c r="D25" s="6">
        <v>3</v>
      </c>
      <c r="E25" s="6">
        <v>280</v>
      </c>
      <c r="F25" s="9">
        <f>(D25*(10^3/1)*(1/649)*(1/E25))*1000</f>
        <v>16.50891481399956</v>
      </c>
      <c r="G25" s="10"/>
      <c r="H25" s="10"/>
    </row>
  </sheetData>
  <mergeCells count="1">
    <mergeCell ref="D17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 QC</vt:lpstr>
      <vt:lpstr>Pooling 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Thomas W. Burke, Ph.D.</cp:lastModifiedBy>
  <cp:lastPrinted>2016-03-24T18:13:21Z</cp:lastPrinted>
  <dcterms:created xsi:type="dcterms:W3CDTF">2016-03-15T19:02:12Z</dcterms:created>
  <dcterms:modified xsi:type="dcterms:W3CDTF">2018-07-23T14:38:08Z</dcterms:modified>
</cp:coreProperties>
</file>